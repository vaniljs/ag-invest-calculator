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filterPrivacy="1"/>
  <xr:revisionPtr revIDLastSave="0" documentId="13_ncr:1_{E060D6CE-38B3-46A6-80F1-505489480034}" xr6:coauthVersionLast="47" xr6:coauthVersionMax="47" xr10:uidLastSave="{00000000-0000-0000-0000-000000000000}"/>
  <bookViews>
    <workbookView xWindow="12180" yWindow="2835" windowWidth="25650" windowHeight="18045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1" l="1"/>
  <c r="J6" i="1"/>
  <c r="J4" i="1"/>
  <c r="J8" i="1" l="1"/>
  <c r="J10" i="1" l="1"/>
  <c r="G17" i="1" s="1"/>
  <c r="L17" i="1" l="1"/>
  <c r="G19" i="1"/>
  <c r="L15" i="1"/>
  <c r="L13" i="1"/>
  <c r="L19" i="1"/>
  <c r="L14" i="1"/>
  <c r="L10" i="1"/>
  <c r="L18" i="1"/>
  <c r="L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10" authorId="0" shapeId="0" xr:uid="{00000000-0006-0000-0000-000001000000}">
      <text>
        <r>
          <rPr>
            <sz val="12"/>
            <color indexed="81"/>
            <rFont val="Tahoma"/>
            <family val="2"/>
            <charset val="204"/>
          </rPr>
          <t>Введите от 10 до 40.</t>
        </r>
      </text>
    </comment>
  </commentList>
</comments>
</file>

<file path=xl/sharedStrings.xml><?xml version="1.0" encoding="utf-8"?>
<sst xmlns="http://schemas.openxmlformats.org/spreadsheetml/2006/main" count="15" uniqueCount="15">
  <si>
    <t>Заполните жёлтые ячейки</t>
  </si>
  <si>
    <t xml:space="preserve">Среднемесячный личный доход  </t>
  </si>
  <si>
    <t xml:space="preserve">Итого капитал (10% годовых)  </t>
  </si>
  <si>
    <t xml:space="preserve">Рабочих / бизнес часов в месяц  </t>
  </si>
  <si>
    <t xml:space="preserve">Сколько внесли за все года  </t>
  </si>
  <si>
    <t xml:space="preserve">Сколько инвестировать в месяц  </t>
  </si>
  <si>
    <t xml:space="preserve">Доход до налогов  </t>
  </si>
  <si>
    <t xml:space="preserve">Сколько лет инвестировать  </t>
  </si>
  <si>
    <t>Какой доход приносит ваш 1 час?</t>
  </si>
  <si>
    <t>На работе / В бизнесе</t>
  </si>
  <si>
    <t>В долгосрочных инвестициях</t>
  </si>
  <si>
    <t>Расчёты на данной странице носят информативный характер. Любые инвестиции сопряжены с риском.</t>
  </si>
  <si>
    <t>Реальный результат может отличаться от представленных здесь значений. Не является рекомендацией.</t>
  </si>
  <si>
    <t xml:space="preserve">Доход после налога 22%  </t>
  </si>
  <si>
    <t>Внутренние коэффициенты: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</si>
</sst>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5" formatCode="#,##0\ &quot;₽&quot;;\-#,##0\ &quot;₽&quot;"/>
    <numFmt numFmtId="42" formatCode="_-* #,##0\ &quot;₽&quot;_-;\-* #,##0\ &quot;₽&quot;_-;_-* &quot;-&quot;\ &quot;₽&quot;_-;_-@_-"/>
    <numFmt numFmtId="164" formatCode="_-* #,##0.00\ _₽_-;\-* #,##0.00\ _₽_-;_-* &quot;-&quot;??\ _₽_-;_-@_-"/>
    <numFmt numFmtId="165" formatCode="_-* #,##0_-;\-* #,##0_-;_-* &quot;-&quot;??_-;_-@_-"/>
    <numFmt numFmtId="166" formatCode="#,##0\ &quot;₽&quot;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rial"/>
      <family val="2"/>
      <charset val="204"/>
    </font>
    <font>
      <b/>
      <sz val="12"/>
      <color rgb="FFFFFF00"/>
      <name val="Arial"/>
      <family val="2"/>
      <charset val="204"/>
    </font>
    <font>
      <sz val="12"/>
      <color theme="0"/>
      <name val="Arial"/>
      <family val="2"/>
      <charset val="204"/>
    </font>
    <font>
      <sz val="12"/>
      <color rgb="FF002635"/>
      <name val="Arial"/>
      <family val="2"/>
      <charset val="204"/>
    </font>
    <font>
      <sz val="12"/>
      <color theme="1"/>
      <name val="Arial"/>
      <family val="2"/>
      <charset val="204"/>
    </font>
    <font>
      <sz val="10"/>
      <color theme="0"/>
      <name val="Arial"/>
      <family val="2"/>
      <charset val="204"/>
    </font>
    <font>
      <b/>
      <sz val="20"/>
      <color theme="0"/>
      <name val="Arial"/>
      <family val="2"/>
      <charset val="204"/>
    </font>
    <font>
      <b/>
      <sz val="12"/>
      <color theme="0"/>
      <name val="Arial"/>
      <family val="2"/>
      <charset val="204"/>
    </font>
    <font>
      <sz val="14"/>
      <color theme="0"/>
      <name val="Calibri"/>
      <family val="2"/>
      <charset val="204"/>
    </font>
    <font>
      <b/>
      <sz val="24"/>
      <color rgb="FF002635"/>
      <name val="Arial"/>
      <family val="2"/>
      <charset val="204"/>
    </font>
    <font>
      <sz val="14"/>
      <color theme="0"/>
      <name val="Arial"/>
      <family val="2"/>
      <charset val="204"/>
    </font>
    <font>
      <sz val="9"/>
      <color theme="0" tint="-0.34998626667073579"/>
      <name val="Arial"/>
      <family val="2"/>
      <charset val="204"/>
    </font>
    <font>
      <sz val="11"/>
      <color theme="0" tint="-0.34998626667073579"/>
      <name val="Arial"/>
      <family val="2"/>
      <charset val="204"/>
    </font>
    <font>
      <sz val="11"/>
      <name val="Arial"/>
      <family val="2"/>
      <charset val="204"/>
    </font>
    <font>
      <sz val="12"/>
      <color indexed="81"/>
      <name val="Tahoma"/>
      <family val="2"/>
      <charset val="204"/>
    </font>
    <font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263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6">
    <xf numFmtId="0" fontId="0" fillId="0" borderId="0" xfId="0"/>
    <xf numFmtId="0" fontId="0" fillId="2" borderId="0" xfId="0" applyFill="1"/>
    <xf numFmtId="0" fontId="0" fillId="2" borderId="0" xfId="0" applyFill="1" applyProtection="1">
      <protection hidden="1"/>
    </xf>
    <xf numFmtId="165" fontId="0" fillId="2" borderId="0" xfId="1" applyNumberFormat="1" applyFont="1" applyFill="1" applyProtection="1">
      <protection hidden="1"/>
    </xf>
    <xf numFmtId="0" fontId="2" fillId="2" borderId="0" xfId="0" applyFont="1" applyFill="1" applyProtection="1">
      <protection hidden="1"/>
    </xf>
    <xf numFmtId="0" fontId="4" fillId="2" borderId="0" xfId="0" applyFont="1" applyFill="1" applyProtection="1">
      <protection hidden="1"/>
    </xf>
    <xf numFmtId="0" fontId="4" fillId="2" borderId="0" xfId="0" applyFont="1" applyFill="1" applyAlignment="1" applyProtection="1">
      <alignment horizontal="right"/>
      <protection hidden="1"/>
    </xf>
    <xf numFmtId="5" fontId="5" fillId="3" borderId="1" xfId="1" applyNumberFormat="1" applyFont="1" applyFill="1" applyBorder="1" applyProtection="1">
      <protection locked="0" hidden="1"/>
    </xf>
    <xf numFmtId="0" fontId="4" fillId="2" borderId="0" xfId="0" applyFont="1" applyFill="1" applyAlignment="1" applyProtection="1">
      <alignment vertical="center"/>
      <protection hidden="1"/>
    </xf>
    <xf numFmtId="42" fontId="4" fillId="2" borderId="0" xfId="1" applyNumberFormat="1" applyFont="1" applyFill="1" applyProtection="1">
      <protection hidden="1"/>
    </xf>
    <xf numFmtId="0" fontId="6" fillId="2" borderId="0" xfId="0" applyFont="1" applyFill="1" applyAlignment="1" applyProtection="1">
      <alignment vertical="center"/>
      <protection hidden="1"/>
    </xf>
    <xf numFmtId="165" fontId="4" fillId="2" borderId="0" xfId="1" applyNumberFormat="1" applyFont="1" applyFill="1" applyProtection="1">
      <protection hidden="1"/>
    </xf>
    <xf numFmtId="0" fontId="6" fillId="2" borderId="0" xfId="0" applyFont="1" applyFill="1" applyProtection="1">
      <protection hidden="1"/>
    </xf>
    <xf numFmtId="165" fontId="5" fillId="3" borderId="1" xfId="1" applyNumberFormat="1" applyFont="1" applyFill="1" applyBorder="1" applyProtection="1">
      <protection locked="0" hidden="1"/>
    </xf>
    <xf numFmtId="42" fontId="4" fillId="2" borderId="0" xfId="0" applyNumberFormat="1" applyFont="1" applyFill="1" applyProtection="1">
      <protection hidden="1"/>
    </xf>
    <xf numFmtId="0" fontId="7" fillId="2" borderId="0" xfId="0" applyFont="1" applyFill="1" applyProtection="1">
      <protection hidden="1"/>
    </xf>
    <xf numFmtId="0" fontId="0" fillId="2" borderId="0" xfId="0" applyFill="1" applyAlignment="1" applyProtection="1">
      <alignment vertical="center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10" fillId="2" borderId="0" xfId="0" applyFont="1" applyFill="1" applyAlignment="1" applyProtection="1">
      <alignment vertical="center"/>
      <protection hidden="1"/>
    </xf>
    <xf numFmtId="0" fontId="10" fillId="2" borderId="0" xfId="0" applyFont="1" applyFill="1" applyProtection="1">
      <protection hidden="1"/>
    </xf>
    <xf numFmtId="0" fontId="13" fillId="2" borderId="0" xfId="0" applyFont="1" applyFill="1" applyAlignment="1" applyProtection="1">
      <alignment vertical="center"/>
      <protection hidden="1"/>
    </xf>
    <xf numFmtId="165" fontId="14" fillId="2" borderId="0" xfId="1" applyNumberFormat="1" applyFont="1" applyFill="1" applyProtection="1">
      <protection hidden="1"/>
    </xf>
    <xf numFmtId="0" fontId="14" fillId="2" borderId="0" xfId="0" applyFont="1" applyFill="1" applyProtection="1">
      <protection hidden="1"/>
    </xf>
    <xf numFmtId="165" fontId="2" fillId="2" borderId="0" xfId="1" applyNumberFormat="1" applyFont="1" applyFill="1" applyProtection="1">
      <protection hidden="1"/>
    </xf>
    <xf numFmtId="0" fontId="2" fillId="2" borderId="0" xfId="0" applyFont="1" applyFill="1" applyAlignment="1" applyProtection="1">
      <alignment horizontal="left"/>
      <protection hidden="1"/>
    </xf>
    <xf numFmtId="0" fontId="15" fillId="2" borderId="0" xfId="0" applyFont="1" applyFill="1" applyProtection="1">
      <protection hidden="1"/>
    </xf>
    <xf numFmtId="165" fontId="15" fillId="2" borderId="0" xfId="1" applyNumberFormat="1" applyFont="1" applyFill="1" applyProtection="1">
      <protection hidden="1"/>
    </xf>
    <xf numFmtId="0" fontId="17" fillId="2" borderId="0" xfId="0" applyFont="1" applyFill="1" applyProtection="1">
      <protection hidden="1"/>
    </xf>
    <xf numFmtId="165" fontId="17" fillId="2" borderId="0" xfId="1" applyNumberFormat="1" applyFont="1" applyFill="1" applyProtection="1">
      <protection hidden="1"/>
    </xf>
    <xf numFmtId="0" fontId="7" fillId="2" borderId="0" xfId="0" applyFont="1" applyFill="1" applyAlignment="1" applyProtection="1">
      <alignment horizontal="left"/>
      <protection hidden="1"/>
    </xf>
    <xf numFmtId="166" fontId="11" fillId="4" borderId="0" xfId="0" applyNumberFormat="1" applyFont="1" applyFill="1" applyBorder="1" applyAlignment="1" applyProtection="1">
      <alignment horizontal="center" vertical="center"/>
      <protection hidden="1"/>
    </xf>
    <xf numFmtId="0" fontId="12" fillId="2" borderId="0" xfId="0" applyFont="1" applyFill="1" applyAlignment="1" applyProtection="1">
      <alignment horizontal="center"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0" fontId="8" fillId="2" borderId="0" xfId="0" applyFont="1" applyFill="1" applyAlignment="1" applyProtection="1">
      <alignment horizontal="center" vertical="center"/>
      <protection hidden="1"/>
    </xf>
    <xf numFmtId="0" fontId="9" fillId="2" borderId="0" xfId="0" applyFont="1" applyFill="1" applyAlignment="1" applyProtection="1">
      <alignment horizontal="center" vertical="center"/>
      <protection hidden="1"/>
    </xf>
    <xf numFmtId="165" fontId="2" fillId="2" borderId="0" xfId="1" applyNumberFormat="1" applyFont="1" applyFill="1" applyAlignment="1" applyProtection="1">
      <alignment horizontal="center"/>
      <protection hidden="1"/>
    </xf>
  </cellXfs>
  <cellStyles count="2">
    <cellStyle name="Обычный" xfId="0" builtinId="0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67"/>
  <sheetViews>
    <sheetView tabSelected="1" workbookViewId="0">
      <selection activeCell="R24" sqref="R24"/>
    </sheetView>
  </sheetViews>
  <sheetFormatPr defaultColWidth="9" defaultRowHeight="15" x14ac:dyDescent="0.25"/>
  <cols>
    <col min="1" max="1" width="9" style="2"/>
    <col min="2" max="2" width="24.42578125" style="2" customWidth="1"/>
    <col min="3" max="3" width="13.7109375" style="3" customWidth="1"/>
    <col min="4" max="4" width="5" style="4" customWidth="1"/>
    <col min="5" max="5" width="5.5703125" style="2" customWidth="1"/>
    <col min="6" max="6" width="5.140625" style="2" customWidth="1"/>
    <col min="7" max="7" width="9.5703125" style="2" customWidth="1"/>
    <col min="8" max="8" width="7.85546875" style="2" customWidth="1"/>
    <col min="9" max="9" width="4.7109375" style="2" customWidth="1"/>
    <col min="10" max="10" width="19.28515625" style="2" customWidth="1"/>
    <col min="11" max="20" width="9" style="4"/>
    <col min="21" max="16384" width="9" style="2"/>
  </cols>
  <sheetData>
    <row r="1" spans="1:20" x14ac:dyDescent="0.25">
      <c r="A1" s="1"/>
    </row>
    <row r="2" spans="1:20" ht="17.649999999999999" customHeight="1" x14ac:dyDescent="0.25">
      <c r="A2" s="32" t="s">
        <v>0</v>
      </c>
      <c r="B2" s="32"/>
      <c r="C2" s="32"/>
    </row>
    <row r="3" spans="1:20" ht="2.65" customHeight="1" x14ac:dyDescent="0.25"/>
    <row r="4" spans="1:20" s="10" customFormat="1" x14ac:dyDescent="0.2">
      <c r="A4" s="5"/>
      <c r="B4" s="6" t="s">
        <v>1</v>
      </c>
      <c r="C4" s="7">
        <v>100000</v>
      </c>
      <c r="D4" s="8"/>
      <c r="E4" s="5"/>
      <c r="F4" s="5"/>
      <c r="G4" s="5"/>
      <c r="H4" s="5"/>
      <c r="I4" s="6" t="s">
        <v>2</v>
      </c>
      <c r="J4" s="9">
        <f>C8*IF(C10=A27,A28,IF(C10=B27,B28,IF(C10=C27,C28,IF(C10=D27,D28,IF(C10=E27,E28,IF(C10=F27,F28,IF(C10=G27,G28,IF(C10=H27,H28,IF(C10=I27,I28,IF(C10=J27,J28,IF(C10=K27,K28,IF(C10=L27,L28,IF(C10=C29,C30,IF(C10=D29,D30,IF(C10=E29,E30,IF(C10=F29,F30,IF(C10=G29,G30,IF(C10=H29,H30,IF(C10=I29,I30,IF(C10=J29,J30,IF(C10=K29,K30,IF(C10=L29,L30,IF(C10=C31,C32,IF(C10=D31,D32,IF(C10=E31,E32,IF(C10=F31,F32,IF(C10=G31,G32,IF(C10=H31,H32,IF(C10=I31,I32,IF(C10=J31,J32,IF(C10=K31,K32,IF(C10=L31,L32))))))))))))))))))))))))))))))))</f>
        <v>3099000</v>
      </c>
      <c r="K4" s="8"/>
      <c r="L4" s="8"/>
      <c r="M4" s="8"/>
      <c r="N4" s="8"/>
      <c r="O4" s="8"/>
      <c r="P4" s="8"/>
      <c r="Q4" s="8"/>
      <c r="R4" s="8"/>
      <c r="S4" s="8"/>
      <c r="T4" s="8"/>
    </row>
    <row r="5" spans="1:20" s="12" customFormat="1" ht="4.9000000000000004" customHeight="1" x14ac:dyDescent="0.2">
      <c r="A5" s="5"/>
      <c r="B5" s="6"/>
      <c r="C5" s="6"/>
      <c r="D5" s="5"/>
      <c r="E5" s="5"/>
      <c r="F5" s="5"/>
      <c r="G5" s="5"/>
      <c r="H5" s="5"/>
      <c r="I5" s="6"/>
      <c r="J5" s="11"/>
      <c r="K5" s="5"/>
      <c r="L5" s="5"/>
      <c r="M5" s="5"/>
      <c r="N5" s="5"/>
      <c r="O5" s="5"/>
      <c r="P5" s="5"/>
      <c r="Q5" s="5"/>
      <c r="R5" s="5"/>
      <c r="S5" s="5"/>
      <c r="T5" s="5"/>
    </row>
    <row r="6" spans="1:20" s="12" customFormat="1" x14ac:dyDescent="0.2">
      <c r="A6" s="5"/>
      <c r="B6" s="6" t="s">
        <v>3</v>
      </c>
      <c r="C6" s="13">
        <v>160</v>
      </c>
      <c r="D6" s="5"/>
      <c r="E6" s="5"/>
      <c r="F6" s="5"/>
      <c r="G6" s="5"/>
      <c r="H6" s="5"/>
      <c r="I6" s="6" t="s">
        <v>4</v>
      </c>
      <c r="J6" s="9">
        <f>C8*12*C10</f>
        <v>1800000</v>
      </c>
      <c r="K6" s="5"/>
      <c r="O6" s="5"/>
      <c r="P6" s="5"/>
      <c r="Q6" s="5"/>
      <c r="R6" s="5"/>
      <c r="S6" s="5"/>
      <c r="T6" s="5"/>
    </row>
    <row r="7" spans="1:20" s="12" customFormat="1" ht="5.25" customHeight="1" x14ac:dyDescent="0.2">
      <c r="A7" s="5"/>
      <c r="B7" s="5"/>
      <c r="C7" s="11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</row>
    <row r="8" spans="1:20" s="12" customFormat="1" x14ac:dyDescent="0.2">
      <c r="B8" s="6" t="s">
        <v>5</v>
      </c>
      <c r="C8" s="7">
        <v>15000</v>
      </c>
      <c r="D8" s="5"/>
      <c r="E8" s="5"/>
      <c r="F8" s="5"/>
      <c r="G8" s="5"/>
      <c r="H8" s="5"/>
      <c r="I8" s="6" t="s">
        <v>6</v>
      </c>
      <c r="J8" s="9">
        <f>J4-J6</f>
        <v>1299000</v>
      </c>
      <c r="K8" s="5"/>
      <c r="L8" s="5"/>
      <c r="M8" s="5"/>
      <c r="N8" s="5"/>
      <c r="O8" s="5"/>
      <c r="P8" s="5"/>
      <c r="Q8" s="5"/>
      <c r="R8" s="5"/>
      <c r="S8" s="5"/>
      <c r="T8" s="5"/>
    </row>
    <row r="9" spans="1:20" s="12" customFormat="1" ht="5.25" customHeight="1" x14ac:dyDescent="0.2">
      <c r="A9" s="5"/>
      <c r="B9" s="5"/>
      <c r="C9" s="5"/>
      <c r="D9" s="5"/>
      <c r="E9" s="5"/>
      <c r="F9" s="5"/>
      <c r="G9" s="5"/>
      <c r="H9" s="5"/>
      <c r="I9" s="5"/>
      <c r="J9" s="14"/>
      <c r="K9" s="5"/>
      <c r="L9" s="5"/>
      <c r="M9" s="5"/>
      <c r="N9" s="5"/>
      <c r="O9" s="5"/>
      <c r="P9" s="5"/>
      <c r="Q9" s="5"/>
      <c r="R9" s="5"/>
      <c r="S9" s="5"/>
      <c r="T9" s="5"/>
    </row>
    <row r="10" spans="1:20" s="12" customFormat="1" x14ac:dyDescent="0.2">
      <c r="A10" s="5"/>
      <c r="B10" s="6" t="s">
        <v>7</v>
      </c>
      <c r="C10" s="13">
        <v>10</v>
      </c>
      <c r="D10" s="5"/>
      <c r="E10" s="5"/>
      <c r="F10" s="5"/>
      <c r="G10" s="5"/>
      <c r="H10" s="5"/>
      <c r="I10" s="6" t="s">
        <v>13</v>
      </c>
      <c r="J10" s="9">
        <f>J8*0.78</f>
        <v>1013220</v>
      </c>
      <c r="K10" s="5"/>
      <c r="L10" s="15" t="str">
        <f>IF(G17="","","'На работе / В бизнесе' показывает, сколько приносит")</f>
        <v>'На работе / В бизнесе' показывает, сколько приносит</v>
      </c>
      <c r="M10" s="5"/>
      <c r="N10" s="5"/>
      <c r="O10" s="5"/>
      <c r="P10" s="5"/>
      <c r="Q10" s="5"/>
      <c r="R10" s="5"/>
      <c r="S10" s="5"/>
      <c r="T10" s="5"/>
    </row>
    <row r="11" spans="1:20" s="5" customFormat="1" x14ac:dyDescent="0.2">
      <c r="L11" s="15" t="str">
        <f>IF(G17="","","ваш 1 час от активной деятельности, приносящей доход.")</f>
        <v>ваш 1 час от активной деятельности, приносящей доход.</v>
      </c>
    </row>
    <row r="12" spans="1:20" s="5" customFormat="1" x14ac:dyDescent="0.2">
      <c r="C12" s="11"/>
    </row>
    <row r="13" spans="1:20" s="5" customFormat="1" x14ac:dyDescent="0.2">
      <c r="B13" s="33" t="s">
        <v>8</v>
      </c>
      <c r="C13" s="33"/>
      <c r="D13" s="33"/>
      <c r="E13" s="33"/>
      <c r="F13" s="33"/>
      <c r="G13" s="33"/>
      <c r="H13" s="33"/>
      <c r="I13" s="33"/>
      <c r="J13" s="33"/>
      <c r="L13" s="15" t="str">
        <f>IF(G17="","","'В долгосрочных инвестициях' показывает, сколько приносят")</f>
        <v>'В долгосрочных инвестициях' показывает, сколько приносят</v>
      </c>
    </row>
    <row r="14" spans="1:20" s="4" customFormat="1" ht="15" customHeight="1" x14ac:dyDescent="0.2">
      <c r="B14" s="33"/>
      <c r="C14" s="33"/>
      <c r="D14" s="33"/>
      <c r="E14" s="33"/>
      <c r="F14" s="33"/>
      <c r="G14" s="33"/>
      <c r="H14" s="33"/>
      <c r="I14" s="33"/>
      <c r="J14" s="33"/>
      <c r="K14" s="5"/>
      <c r="L14" s="15" t="str">
        <f>IF(G17="","","долгосрочные инвестиции, на которые вы тратите 1 час в год.")</f>
        <v>долгосрочные инвестиции, на которые вы тратите 1 час в год.</v>
      </c>
    </row>
    <row r="15" spans="1:20" s="16" customFormat="1" ht="16.5" customHeight="1" x14ac:dyDescent="0.25">
      <c r="B15" s="34" t="s">
        <v>9</v>
      </c>
      <c r="C15" s="34"/>
      <c r="D15" s="17"/>
      <c r="G15" s="34" t="s">
        <v>10</v>
      </c>
      <c r="H15" s="34"/>
      <c r="I15" s="34"/>
      <c r="J15" s="34"/>
      <c r="K15" s="18"/>
      <c r="L15" s="29" t="str">
        <f>IF(G17="","","Вывод: с точки зрения обмена своего времени на деньги,")</f>
        <v>Вывод: с точки зрения обмена своего времени на деньги,</v>
      </c>
      <c r="M15" s="29"/>
      <c r="N15" s="29"/>
      <c r="O15" s="29"/>
      <c r="P15" s="29"/>
      <c r="Q15" s="29"/>
      <c r="R15" s="17"/>
      <c r="S15" s="17"/>
      <c r="T15" s="17"/>
    </row>
    <row r="16" spans="1:20" ht="15.4" customHeight="1" x14ac:dyDescent="0.25">
      <c r="B16" s="34"/>
      <c r="C16" s="34"/>
      <c r="G16" s="34"/>
      <c r="H16" s="34"/>
      <c r="I16" s="34"/>
      <c r="J16" s="34"/>
      <c r="L16" s="29"/>
      <c r="M16" s="29"/>
      <c r="N16" s="29"/>
      <c r="O16" s="29"/>
      <c r="P16" s="29"/>
      <c r="Q16" s="29"/>
    </row>
    <row r="17" spans="1:15" ht="16.5" customHeight="1" x14ac:dyDescent="0.3">
      <c r="B17" s="30">
        <f>IF(OR(C4="",C6=""),"",C4/C6)</f>
        <v>625</v>
      </c>
      <c r="C17" s="30"/>
      <c r="G17" s="30">
        <f>IF(AND(C8&gt;0,C10&gt;0),J10/C10,"")</f>
        <v>101322</v>
      </c>
      <c r="H17" s="30"/>
      <c r="I17" s="30"/>
      <c r="J17" s="30"/>
      <c r="L17" s="15" t="str">
        <f>IF(G17="","","ни одна работа или бизнес в долгосрок не принесут столько, ")</f>
        <v xml:space="preserve">ни одна работа или бизнес в долгосрок не принесут столько, </v>
      </c>
      <c r="M17" s="19"/>
      <c r="N17" s="19"/>
      <c r="O17" s="19"/>
    </row>
    <row r="18" spans="1:15" ht="16.5" customHeight="1" x14ac:dyDescent="0.3">
      <c r="B18" s="30"/>
      <c r="C18" s="30"/>
      <c r="G18" s="30"/>
      <c r="H18" s="30"/>
      <c r="I18" s="30"/>
      <c r="J18" s="30"/>
      <c r="L18" s="4" t="str">
        <f>IF(G17="","","сколько дадут долгосрочные грамотные инвестиции.")</f>
        <v>сколько дадут долгосрочные грамотные инвестиции.</v>
      </c>
      <c r="M18" s="19"/>
      <c r="N18" s="19"/>
      <c r="O18" s="19"/>
    </row>
    <row r="19" spans="1:15" ht="15.95" customHeight="1" x14ac:dyDescent="0.3">
      <c r="G19" s="31" t="str">
        <f>IF(AND(C4&gt;1,C6&gt;1,C8&gt;1,C10&gt;1),"Больше в " &amp;ROUNDUP(G17/B17,0) &amp;" раз(а)","")</f>
        <v>Больше в 163 раз(а)</v>
      </c>
      <c r="H19" s="31"/>
      <c r="I19" s="31"/>
      <c r="J19" s="31"/>
      <c r="L19" s="4" t="str">
        <f>IF(G17="","","Стратегий и инструментов много - важно подобрать свои.")</f>
        <v>Стратегий и инструментов много - важно подобрать свои.</v>
      </c>
      <c r="M19" s="19"/>
      <c r="N19" s="19"/>
      <c r="O19" s="19"/>
    </row>
    <row r="20" spans="1:15" ht="18.75" x14ac:dyDescent="0.3">
      <c r="L20" s="2"/>
      <c r="M20" s="19"/>
      <c r="N20" s="19"/>
      <c r="O20" s="19"/>
    </row>
    <row r="21" spans="1:15" ht="12.4" customHeight="1" x14ac:dyDescent="0.3">
      <c r="B21" s="20" t="s">
        <v>11</v>
      </c>
      <c r="C21" s="21"/>
      <c r="E21" s="22"/>
      <c r="F21" s="22"/>
      <c r="G21" s="22"/>
      <c r="H21" s="22"/>
      <c r="I21" s="22"/>
      <c r="J21" s="22"/>
      <c r="M21" s="19"/>
      <c r="N21" s="19"/>
      <c r="O21" s="19"/>
    </row>
    <row r="22" spans="1:15" ht="12.4" customHeight="1" x14ac:dyDescent="0.3">
      <c r="B22" s="20" t="s">
        <v>12</v>
      </c>
      <c r="C22" s="21"/>
      <c r="E22" s="22"/>
      <c r="F22" s="22"/>
      <c r="G22" s="22"/>
      <c r="H22" s="22"/>
      <c r="I22" s="22"/>
      <c r="J22" s="22"/>
      <c r="M22" s="19"/>
      <c r="N22" s="19"/>
      <c r="O22" s="19"/>
    </row>
    <row r="23" spans="1:15" ht="18.75" x14ac:dyDescent="0.3">
      <c r="B23" s="27"/>
      <c r="C23" s="28"/>
      <c r="E23" s="27"/>
      <c r="F23" s="27"/>
      <c r="G23" s="27"/>
      <c r="H23" s="27"/>
      <c r="I23" s="27"/>
      <c r="J23" s="27"/>
      <c r="M23" s="19"/>
      <c r="N23" s="19"/>
      <c r="O23" s="19"/>
    </row>
    <row r="24" spans="1:15" s="4" customFormat="1" ht="18.75" x14ac:dyDescent="0.3">
      <c r="C24" s="23"/>
      <c r="D24" s="24"/>
      <c r="M24" s="19"/>
      <c r="N24" s="19"/>
      <c r="O24" s="19"/>
    </row>
    <row r="25" spans="1:15" s="4" customFormat="1" ht="18.75" x14ac:dyDescent="0.3">
      <c r="C25" s="35" t="s">
        <v>14</v>
      </c>
      <c r="D25" s="35"/>
      <c r="E25" s="35"/>
      <c r="F25" s="35"/>
      <c r="G25" s="35"/>
      <c r="H25" s="35"/>
      <c r="I25" s="35"/>
      <c r="J25" s="35"/>
      <c r="K25" s="35"/>
      <c r="L25" s="35"/>
      <c r="M25" s="19"/>
      <c r="N25" s="19"/>
      <c r="O25" s="19"/>
    </row>
    <row r="26" spans="1:15" s="4" customFormat="1" ht="18.75" x14ac:dyDescent="0.3">
      <c r="C26" s="23"/>
      <c r="G26" s="19"/>
      <c r="H26" s="19"/>
      <c r="I26" s="19"/>
      <c r="J26" s="19"/>
    </row>
    <row r="27" spans="1:15" s="4" customFormat="1" ht="18.75" x14ac:dyDescent="0.3">
      <c r="A27" s="19"/>
      <c r="B27" s="19">
        <v>10</v>
      </c>
      <c r="C27" s="19">
        <v>11</v>
      </c>
      <c r="D27" s="19">
        <v>12</v>
      </c>
      <c r="E27" s="19">
        <v>13</v>
      </c>
      <c r="F27" s="19">
        <v>14</v>
      </c>
      <c r="G27" s="19">
        <v>15</v>
      </c>
      <c r="H27" s="19">
        <v>16</v>
      </c>
      <c r="I27" s="19">
        <v>17</v>
      </c>
      <c r="J27" s="19">
        <v>18</v>
      </c>
      <c r="K27" s="19">
        <v>19</v>
      </c>
      <c r="L27" s="19">
        <v>20</v>
      </c>
      <c r="M27" s="19"/>
    </row>
    <row r="28" spans="1:15" s="4" customFormat="1" ht="18.75" x14ac:dyDescent="0.3">
      <c r="A28" s="19"/>
      <c r="B28" s="19">
        <v>206.6</v>
      </c>
      <c r="C28" s="19">
        <v>240.8</v>
      </c>
      <c r="D28" s="19">
        <v>278.7</v>
      </c>
      <c r="E28" s="19">
        <v>320.60000000000002</v>
      </c>
      <c r="F28" s="19">
        <v>356.8</v>
      </c>
      <c r="G28" s="19">
        <v>417.9</v>
      </c>
      <c r="H28" s="19">
        <v>474.4</v>
      </c>
      <c r="I28" s="19">
        <v>536.79999999999995</v>
      </c>
      <c r="J28" s="19">
        <v>605.70000000000005</v>
      </c>
      <c r="K28" s="19">
        <v>681.7</v>
      </c>
      <c r="L28" s="19">
        <v>765.7</v>
      </c>
      <c r="M28" s="19"/>
    </row>
    <row r="29" spans="1:15" s="4" customFormat="1" ht="18.75" x14ac:dyDescent="0.3">
      <c r="C29" s="19">
        <v>21</v>
      </c>
      <c r="D29" s="19">
        <v>22</v>
      </c>
      <c r="E29" s="19">
        <v>23</v>
      </c>
      <c r="F29" s="19">
        <v>24</v>
      </c>
      <c r="G29" s="19">
        <v>25</v>
      </c>
      <c r="H29" s="19">
        <v>26</v>
      </c>
      <c r="I29" s="19">
        <v>27</v>
      </c>
      <c r="J29" s="19">
        <v>28</v>
      </c>
      <c r="K29" s="19">
        <v>29</v>
      </c>
      <c r="L29" s="19">
        <v>30</v>
      </c>
      <c r="M29" s="19"/>
    </row>
    <row r="30" spans="1:15" s="4" customFormat="1" ht="18.75" x14ac:dyDescent="0.3">
      <c r="C30" s="19">
        <v>858.4</v>
      </c>
      <c r="D30" s="19">
        <v>961.5</v>
      </c>
      <c r="E30" s="19">
        <v>1074.0999999999999</v>
      </c>
      <c r="F30" s="19">
        <v>1199</v>
      </c>
      <c r="G30" s="19">
        <v>1338.7</v>
      </c>
      <c r="H30" s="19">
        <v>1490.3</v>
      </c>
      <c r="I30" s="19">
        <v>1658.4</v>
      </c>
      <c r="J30" s="19">
        <v>1845</v>
      </c>
      <c r="K30" s="19">
        <v>2053.4</v>
      </c>
      <c r="L30" s="19">
        <v>2277.9</v>
      </c>
      <c r="M30" s="19"/>
    </row>
    <row r="31" spans="1:15" s="4" customFormat="1" ht="18.75" x14ac:dyDescent="0.3">
      <c r="C31" s="19">
        <v>31</v>
      </c>
      <c r="D31" s="19">
        <v>32</v>
      </c>
      <c r="E31" s="19">
        <v>33</v>
      </c>
      <c r="F31" s="19">
        <v>34</v>
      </c>
      <c r="G31" s="19">
        <v>35</v>
      </c>
      <c r="H31" s="19">
        <v>36</v>
      </c>
      <c r="I31" s="19">
        <v>37</v>
      </c>
      <c r="J31" s="19">
        <v>38</v>
      </c>
      <c r="K31" s="19">
        <v>39</v>
      </c>
      <c r="L31" s="19">
        <v>40</v>
      </c>
      <c r="M31" s="19"/>
    </row>
    <row r="32" spans="1:15" s="4" customFormat="1" ht="18.75" x14ac:dyDescent="0.3">
      <c r="C32" s="19">
        <v>2531.6</v>
      </c>
      <c r="D32" s="19">
        <v>2809</v>
      </c>
      <c r="E32" s="19">
        <v>3115.3</v>
      </c>
      <c r="F32" s="19">
        <v>3448.3</v>
      </c>
      <c r="G32" s="19">
        <v>3831.4</v>
      </c>
      <c r="H32" s="19">
        <v>4237.3</v>
      </c>
      <c r="I32" s="19">
        <v>4694.8</v>
      </c>
      <c r="J32" s="19">
        <v>5208.3</v>
      </c>
      <c r="K32" s="19">
        <v>5747.1</v>
      </c>
      <c r="L32" s="19">
        <v>6369.4</v>
      </c>
      <c r="M32" s="19"/>
    </row>
    <row r="33" spans="1:20" s="4" customFormat="1" ht="14.25" x14ac:dyDescent="0.2">
      <c r="C33" s="23"/>
    </row>
    <row r="34" spans="1:20" s="4" customFormat="1" ht="14.25" x14ac:dyDescent="0.2">
      <c r="C34" s="23"/>
    </row>
    <row r="35" spans="1:20" s="4" customFormat="1" ht="14.25" x14ac:dyDescent="0.2">
      <c r="C35" s="23"/>
    </row>
    <row r="36" spans="1:20" s="4" customFormat="1" ht="18.75" x14ac:dyDescent="0.3">
      <c r="A36" s="19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</row>
    <row r="37" spans="1:20" s="4" customFormat="1" ht="18.75" x14ac:dyDescent="0.3">
      <c r="A37" s="19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</row>
    <row r="38" spans="1:20" s="4" customFormat="1" ht="18.75" x14ac:dyDescent="0.3"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</row>
    <row r="39" spans="1:20" s="4" customFormat="1" ht="18.75" x14ac:dyDescent="0.3"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</row>
    <row r="40" spans="1:20" s="4" customFormat="1" ht="18.75" x14ac:dyDescent="0.3">
      <c r="A40" s="19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</row>
    <row r="41" spans="1:20" s="4" customFormat="1" ht="18.75" x14ac:dyDescent="0.3">
      <c r="A41" s="19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</row>
    <row r="42" spans="1:20" s="4" customFormat="1" ht="14.25" x14ac:dyDescent="0.2">
      <c r="C42" s="23"/>
    </row>
    <row r="43" spans="1:20" s="4" customFormat="1" ht="14.25" x14ac:dyDescent="0.2">
      <c r="C43" s="23"/>
    </row>
    <row r="44" spans="1:20" s="4" customFormat="1" ht="14.25" x14ac:dyDescent="0.2">
      <c r="C44" s="23"/>
    </row>
    <row r="45" spans="1:20" s="4" customFormat="1" ht="14.25" x14ac:dyDescent="0.2">
      <c r="C45" s="23"/>
    </row>
    <row r="46" spans="1:20" s="4" customFormat="1" ht="14.25" x14ac:dyDescent="0.2">
      <c r="C46" s="23"/>
    </row>
    <row r="47" spans="1:20" s="4" customFormat="1" ht="14.25" x14ac:dyDescent="0.2">
      <c r="C47" s="23"/>
    </row>
    <row r="48" spans="1:20" s="25" customFormat="1" ht="14.25" x14ac:dyDescent="0.2">
      <c r="C48" s="26"/>
      <c r="D48" s="4"/>
      <c r="K48" s="4"/>
      <c r="L48" s="4"/>
      <c r="M48" s="4"/>
      <c r="N48" s="4"/>
      <c r="O48" s="4"/>
      <c r="P48" s="4"/>
      <c r="Q48" s="4"/>
      <c r="R48" s="4"/>
      <c r="S48" s="4"/>
      <c r="T48" s="4"/>
    </row>
    <row r="49" spans="3:20" s="25" customFormat="1" ht="14.25" x14ac:dyDescent="0.2">
      <c r="C49" s="26"/>
      <c r="D49" s="4"/>
      <c r="K49" s="4"/>
      <c r="L49" s="4"/>
      <c r="M49" s="4"/>
      <c r="N49" s="4"/>
      <c r="O49" s="4"/>
      <c r="P49" s="4"/>
      <c r="Q49" s="4"/>
      <c r="R49" s="4"/>
      <c r="S49" s="4"/>
      <c r="T49" s="4"/>
    </row>
    <row r="50" spans="3:20" s="25" customFormat="1" ht="14.25" x14ac:dyDescent="0.2">
      <c r="C50" s="26"/>
      <c r="D50" s="4"/>
      <c r="K50" s="4"/>
      <c r="L50" s="4"/>
      <c r="M50" s="4"/>
      <c r="N50" s="4"/>
      <c r="O50" s="4"/>
      <c r="P50" s="4"/>
      <c r="Q50" s="4"/>
      <c r="R50" s="4"/>
      <c r="S50" s="4"/>
      <c r="T50" s="4"/>
    </row>
    <row r="51" spans="3:20" s="25" customFormat="1" ht="14.25" x14ac:dyDescent="0.2">
      <c r="C51" s="26"/>
      <c r="D51" s="4"/>
      <c r="K51" s="4"/>
      <c r="L51" s="4"/>
      <c r="M51" s="4"/>
      <c r="N51" s="4"/>
      <c r="O51" s="4"/>
      <c r="P51" s="4"/>
      <c r="Q51" s="4"/>
      <c r="R51" s="4"/>
      <c r="S51" s="4"/>
      <c r="T51" s="4"/>
    </row>
    <row r="52" spans="3:20" s="25" customFormat="1" ht="14.25" x14ac:dyDescent="0.2">
      <c r="C52" s="26"/>
      <c r="D52" s="4"/>
      <c r="K52" s="4"/>
      <c r="L52" s="4"/>
      <c r="M52" s="4"/>
      <c r="N52" s="4"/>
      <c r="O52" s="4"/>
      <c r="P52" s="4"/>
      <c r="Q52" s="4"/>
      <c r="R52" s="4"/>
      <c r="S52" s="4"/>
      <c r="T52" s="4"/>
    </row>
    <row r="53" spans="3:20" s="25" customFormat="1" ht="14.25" x14ac:dyDescent="0.2">
      <c r="C53" s="26"/>
      <c r="D53" s="4"/>
      <c r="K53" s="4"/>
      <c r="L53" s="4"/>
      <c r="M53" s="4"/>
      <c r="N53" s="4"/>
      <c r="O53" s="4"/>
      <c r="P53" s="4"/>
      <c r="Q53" s="4"/>
      <c r="R53" s="4"/>
      <c r="S53" s="4"/>
      <c r="T53" s="4"/>
    </row>
    <row r="54" spans="3:20" s="25" customFormat="1" ht="14.25" x14ac:dyDescent="0.2">
      <c r="C54" s="26"/>
      <c r="D54" s="4"/>
      <c r="K54" s="4"/>
      <c r="L54" s="4"/>
      <c r="M54" s="4"/>
      <c r="N54" s="4"/>
      <c r="O54" s="4"/>
      <c r="P54" s="4"/>
      <c r="Q54" s="4"/>
      <c r="R54" s="4"/>
      <c r="S54" s="4"/>
      <c r="T54" s="4"/>
    </row>
    <row r="55" spans="3:20" s="25" customFormat="1" ht="14.25" x14ac:dyDescent="0.2">
      <c r="C55" s="26"/>
      <c r="D55" s="4"/>
      <c r="K55" s="4"/>
      <c r="L55" s="4"/>
      <c r="M55" s="4"/>
      <c r="N55" s="4"/>
      <c r="O55" s="4"/>
      <c r="P55" s="4"/>
      <c r="Q55" s="4"/>
      <c r="R55" s="4"/>
      <c r="S55" s="4"/>
      <c r="T55" s="4"/>
    </row>
    <row r="56" spans="3:20" s="25" customFormat="1" ht="14.25" x14ac:dyDescent="0.2">
      <c r="C56" s="26"/>
      <c r="D56" s="4"/>
      <c r="K56" s="4"/>
      <c r="L56" s="4"/>
      <c r="M56" s="4"/>
      <c r="N56" s="4"/>
      <c r="O56" s="4"/>
      <c r="P56" s="4"/>
      <c r="Q56" s="4"/>
      <c r="R56" s="4"/>
      <c r="S56" s="4"/>
      <c r="T56" s="4"/>
    </row>
    <row r="57" spans="3:20" s="25" customFormat="1" ht="14.25" x14ac:dyDescent="0.2">
      <c r="C57" s="26"/>
      <c r="D57" s="4"/>
      <c r="K57" s="4"/>
      <c r="L57" s="4"/>
      <c r="M57" s="4"/>
      <c r="N57" s="4"/>
      <c r="O57" s="4"/>
      <c r="P57" s="4"/>
      <c r="Q57" s="4"/>
      <c r="R57" s="4"/>
      <c r="S57" s="4"/>
      <c r="T57" s="4"/>
    </row>
    <row r="58" spans="3:20" s="25" customFormat="1" ht="14.25" x14ac:dyDescent="0.2">
      <c r="C58" s="26"/>
      <c r="D58" s="4"/>
      <c r="K58" s="4"/>
      <c r="L58" s="4"/>
      <c r="M58" s="4"/>
      <c r="N58" s="4"/>
      <c r="O58" s="4"/>
      <c r="P58" s="4"/>
      <c r="Q58" s="4"/>
      <c r="R58" s="4"/>
      <c r="S58" s="4"/>
      <c r="T58" s="4"/>
    </row>
    <row r="59" spans="3:20" s="25" customFormat="1" ht="14.25" x14ac:dyDescent="0.2">
      <c r="C59" s="26"/>
      <c r="D59" s="4"/>
      <c r="K59" s="4"/>
      <c r="L59" s="4"/>
      <c r="M59" s="4"/>
      <c r="N59" s="4"/>
      <c r="O59" s="4"/>
      <c r="P59" s="4"/>
      <c r="Q59" s="4"/>
      <c r="R59" s="4"/>
      <c r="S59" s="4"/>
      <c r="T59" s="4"/>
    </row>
    <row r="60" spans="3:20" s="25" customFormat="1" ht="14.25" x14ac:dyDescent="0.2">
      <c r="C60" s="26"/>
      <c r="D60" s="4"/>
      <c r="K60" s="4"/>
      <c r="L60" s="4"/>
      <c r="M60" s="4"/>
      <c r="N60" s="4"/>
      <c r="O60" s="4"/>
      <c r="P60" s="4"/>
      <c r="Q60" s="4"/>
      <c r="R60" s="4"/>
      <c r="S60" s="4"/>
      <c r="T60" s="4"/>
    </row>
    <row r="61" spans="3:20" s="25" customFormat="1" ht="14.25" x14ac:dyDescent="0.2">
      <c r="C61" s="26"/>
      <c r="D61" s="4"/>
      <c r="K61" s="4"/>
      <c r="L61" s="4"/>
      <c r="M61" s="4"/>
      <c r="N61" s="4"/>
      <c r="O61" s="4"/>
      <c r="P61" s="4"/>
      <c r="Q61" s="4"/>
      <c r="R61" s="4"/>
      <c r="S61" s="4"/>
      <c r="T61" s="4"/>
    </row>
    <row r="62" spans="3:20" s="25" customFormat="1" ht="14.25" x14ac:dyDescent="0.2">
      <c r="C62" s="26"/>
      <c r="D62" s="4"/>
      <c r="K62" s="4"/>
      <c r="L62" s="4"/>
      <c r="M62" s="4"/>
      <c r="N62" s="4"/>
      <c r="O62" s="4"/>
      <c r="P62" s="4"/>
      <c r="Q62" s="4"/>
      <c r="R62" s="4"/>
      <c r="S62" s="4"/>
      <c r="T62" s="4"/>
    </row>
    <row r="63" spans="3:20" s="25" customFormat="1" ht="14.25" x14ac:dyDescent="0.2">
      <c r="C63" s="26"/>
      <c r="D63" s="4"/>
      <c r="K63" s="4"/>
      <c r="L63" s="4"/>
      <c r="M63" s="4"/>
      <c r="N63" s="4"/>
      <c r="O63" s="4"/>
      <c r="P63" s="4"/>
      <c r="Q63" s="4"/>
      <c r="R63" s="4"/>
      <c r="S63" s="4"/>
      <c r="T63" s="4"/>
    </row>
    <row r="64" spans="3:20" s="25" customFormat="1" ht="14.25" x14ac:dyDescent="0.2">
      <c r="C64" s="26"/>
      <c r="D64" s="4"/>
      <c r="K64" s="4"/>
      <c r="L64" s="4"/>
      <c r="M64" s="4"/>
      <c r="N64" s="4"/>
      <c r="O64" s="4"/>
      <c r="P64" s="4"/>
      <c r="Q64" s="4"/>
      <c r="R64" s="4"/>
      <c r="S64" s="4"/>
      <c r="T64" s="4"/>
    </row>
    <row r="65" spans="3:20" s="25" customFormat="1" ht="14.25" x14ac:dyDescent="0.2">
      <c r="C65" s="26"/>
      <c r="D65" s="4"/>
      <c r="K65" s="4"/>
      <c r="L65" s="4"/>
      <c r="M65" s="4"/>
      <c r="N65" s="4"/>
      <c r="O65" s="4"/>
      <c r="P65" s="4"/>
      <c r="Q65" s="4"/>
      <c r="R65" s="4"/>
      <c r="S65" s="4"/>
      <c r="T65" s="4"/>
    </row>
    <row r="66" spans="3:20" s="25" customFormat="1" ht="14.25" x14ac:dyDescent="0.2">
      <c r="C66" s="26"/>
      <c r="D66" s="4"/>
      <c r="K66" s="4"/>
      <c r="L66" s="4"/>
      <c r="M66" s="4"/>
      <c r="N66" s="4"/>
      <c r="O66" s="4"/>
      <c r="P66" s="4"/>
      <c r="Q66" s="4"/>
      <c r="R66" s="4"/>
      <c r="S66" s="4"/>
      <c r="T66" s="4"/>
    </row>
    <row r="67" spans="3:20" s="25" customFormat="1" ht="14.25" x14ac:dyDescent="0.2">
      <c r="C67" s="26"/>
      <c r="D67" s="4"/>
      <c r="K67" s="4"/>
      <c r="L67" s="4"/>
      <c r="M67" s="4"/>
      <c r="N67" s="4"/>
      <c r="O67" s="4"/>
      <c r="P67" s="4"/>
      <c r="Q67" s="4"/>
      <c r="R67" s="4"/>
      <c r="S67" s="4"/>
      <c r="T67" s="4"/>
    </row>
    <row r="68" spans="3:20" s="25" customFormat="1" ht="14.25" x14ac:dyDescent="0.2">
      <c r="C68" s="26"/>
      <c r="D68" s="4"/>
      <c r="K68" s="4"/>
      <c r="L68" s="4"/>
      <c r="M68" s="4"/>
      <c r="N68" s="4"/>
      <c r="O68" s="4"/>
      <c r="P68" s="4"/>
      <c r="Q68" s="4"/>
      <c r="R68" s="4"/>
      <c r="S68" s="4"/>
      <c r="T68" s="4"/>
    </row>
    <row r="69" spans="3:20" s="25" customFormat="1" ht="14.25" x14ac:dyDescent="0.2">
      <c r="C69" s="26"/>
      <c r="D69" s="4"/>
      <c r="K69" s="4"/>
      <c r="L69" s="4"/>
      <c r="M69" s="4"/>
      <c r="N69" s="4"/>
      <c r="O69" s="4"/>
      <c r="P69" s="4"/>
      <c r="Q69" s="4"/>
      <c r="R69" s="4"/>
      <c r="S69" s="4"/>
      <c r="T69" s="4"/>
    </row>
    <row r="70" spans="3:20" s="25" customFormat="1" ht="14.25" x14ac:dyDescent="0.2">
      <c r="C70" s="26"/>
      <c r="D70" s="4"/>
      <c r="K70" s="4"/>
      <c r="L70" s="4"/>
      <c r="M70" s="4"/>
      <c r="N70" s="4"/>
      <c r="O70" s="4"/>
      <c r="P70" s="4"/>
      <c r="Q70" s="4"/>
      <c r="R70" s="4"/>
      <c r="S70" s="4"/>
      <c r="T70" s="4"/>
    </row>
    <row r="71" spans="3:20" s="25" customFormat="1" ht="14.25" x14ac:dyDescent="0.2">
      <c r="C71" s="26"/>
      <c r="D71" s="4"/>
      <c r="K71" s="4"/>
      <c r="L71" s="4"/>
      <c r="M71" s="4"/>
      <c r="N71" s="4"/>
      <c r="O71" s="4"/>
      <c r="P71" s="4"/>
      <c r="Q71" s="4"/>
      <c r="R71" s="4"/>
      <c r="S71" s="4"/>
      <c r="T71" s="4"/>
    </row>
    <row r="72" spans="3:20" s="25" customFormat="1" ht="14.25" x14ac:dyDescent="0.2">
      <c r="C72" s="26"/>
      <c r="D72" s="4"/>
      <c r="K72" s="4"/>
      <c r="L72" s="4"/>
      <c r="M72" s="4"/>
      <c r="N72" s="4"/>
      <c r="O72" s="4"/>
      <c r="P72" s="4"/>
      <c r="Q72" s="4"/>
      <c r="R72" s="4"/>
      <c r="S72" s="4"/>
      <c r="T72" s="4"/>
    </row>
    <row r="73" spans="3:20" s="25" customFormat="1" ht="14.25" x14ac:dyDescent="0.2">
      <c r="C73" s="26"/>
      <c r="D73" s="4"/>
      <c r="K73" s="4"/>
      <c r="L73" s="4"/>
      <c r="M73" s="4"/>
      <c r="N73" s="4"/>
      <c r="O73" s="4"/>
      <c r="P73" s="4"/>
      <c r="Q73" s="4"/>
      <c r="R73" s="4"/>
      <c r="S73" s="4"/>
      <c r="T73" s="4"/>
    </row>
    <row r="74" spans="3:20" s="25" customFormat="1" ht="14.25" x14ac:dyDescent="0.2">
      <c r="C74" s="26"/>
      <c r="D74" s="4"/>
      <c r="K74" s="4"/>
      <c r="L74" s="4"/>
      <c r="M74" s="4"/>
      <c r="N74" s="4"/>
      <c r="O74" s="4"/>
      <c r="P74" s="4"/>
      <c r="Q74" s="4"/>
      <c r="R74" s="4"/>
      <c r="S74" s="4"/>
      <c r="T74" s="4"/>
    </row>
    <row r="75" spans="3:20" s="25" customFormat="1" ht="14.25" x14ac:dyDescent="0.2">
      <c r="C75" s="26"/>
      <c r="D75" s="4"/>
      <c r="K75" s="4"/>
      <c r="L75" s="4"/>
      <c r="M75" s="4"/>
      <c r="N75" s="4"/>
      <c r="O75" s="4"/>
      <c r="P75" s="4"/>
      <c r="Q75" s="4"/>
      <c r="R75" s="4"/>
      <c r="S75" s="4"/>
      <c r="T75" s="4"/>
    </row>
    <row r="76" spans="3:20" s="25" customFormat="1" ht="14.25" x14ac:dyDescent="0.2">
      <c r="C76" s="26"/>
      <c r="D76" s="4"/>
      <c r="K76" s="4"/>
      <c r="L76" s="4"/>
      <c r="M76" s="4"/>
      <c r="N76" s="4"/>
      <c r="O76" s="4"/>
      <c r="P76" s="4"/>
      <c r="Q76" s="4"/>
      <c r="R76" s="4"/>
      <c r="S76" s="4"/>
      <c r="T76" s="4"/>
    </row>
    <row r="77" spans="3:20" s="25" customFormat="1" ht="14.25" x14ac:dyDescent="0.2">
      <c r="C77" s="26"/>
      <c r="D77" s="4"/>
      <c r="K77" s="4"/>
      <c r="L77" s="4"/>
      <c r="M77" s="4"/>
      <c r="N77" s="4"/>
      <c r="O77" s="4"/>
      <c r="P77" s="4"/>
      <c r="Q77" s="4"/>
      <c r="R77" s="4"/>
      <c r="S77" s="4"/>
      <c r="T77" s="4"/>
    </row>
    <row r="78" spans="3:20" s="25" customFormat="1" ht="14.25" x14ac:dyDescent="0.2">
      <c r="C78" s="26"/>
      <c r="D78" s="4"/>
      <c r="K78" s="4"/>
      <c r="L78" s="4"/>
      <c r="M78" s="4"/>
      <c r="N78" s="4"/>
      <c r="O78" s="4"/>
      <c r="P78" s="4"/>
      <c r="Q78" s="4"/>
      <c r="R78" s="4"/>
      <c r="S78" s="4"/>
      <c r="T78" s="4"/>
    </row>
    <row r="79" spans="3:20" s="25" customFormat="1" ht="14.25" x14ac:dyDescent="0.2">
      <c r="C79" s="26"/>
      <c r="D79" s="4"/>
      <c r="K79" s="4"/>
      <c r="L79" s="4"/>
      <c r="M79" s="4"/>
      <c r="N79" s="4"/>
      <c r="O79" s="4"/>
      <c r="P79" s="4"/>
      <c r="Q79" s="4"/>
      <c r="R79" s="4"/>
      <c r="S79" s="4"/>
      <c r="T79" s="4"/>
    </row>
    <row r="80" spans="3:20" s="25" customFormat="1" ht="14.25" x14ac:dyDescent="0.2">
      <c r="C80" s="26"/>
      <c r="D80" s="4"/>
      <c r="K80" s="4"/>
      <c r="L80" s="4"/>
      <c r="M80" s="4"/>
      <c r="N80" s="4"/>
      <c r="O80" s="4"/>
      <c r="P80" s="4"/>
      <c r="Q80" s="4"/>
      <c r="R80" s="4"/>
      <c r="S80" s="4"/>
      <c r="T80" s="4"/>
    </row>
    <row r="81" spans="3:20" s="25" customFormat="1" ht="14.25" x14ac:dyDescent="0.2">
      <c r="C81" s="26"/>
      <c r="D81" s="4"/>
      <c r="K81" s="4"/>
      <c r="L81" s="4"/>
      <c r="M81" s="4"/>
      <c r="N81" s="4"/>
      <c r="O81" s="4"/>
      <c r="P81" s="4"/>
      <c r="Q81" s="4"/>
      <c r="R81" s="4"/>
      <c r="S81" s="4"/>
      <c r="T81" s="4"/>
    </row>
    <row r="82" spans="3:20" s="25" customFormat="1" ht="14.25" x14ac:dyDescent="0.2">
      <c r="C82" s="26"/>
      <c r="D82" s="4"/>
      <c r="K82" s="4"/>
      <c r="L82" s="4"/>
      <c r="M82" s="4"/>
      <c r="N82" s="4"/>
      <c r="O82" s="4"/>
      <c r="P82" s="4"/>
      <c r="Q82" s="4"/>
      <c r="R82" s="4"/>
      <c r="S82" s="4"/>
      <c r="T82" s="4"/>
    </row>
    <row r="83" spans="3:20" s="25" customFormat="1" ht="14.25" x14ac:dyDescent="0.2">
      <c r="C83" s="26"/>
      <c r="D83" s="4"/>
      <c r="K83" s="4"/>
      <c r="L83" s="4"/>
      <c r="M83" s="4"/>
      <c r="N83" s="4"/>
      <c r="O83" s="4"/>
      <c r="P83" s="4"/>
      <c r="Q83" s="4"/>
      <c r="R83" s="4"/>
      <c r="S83" s="4"/>
      <c r="T83" s="4"/>
    </row>
    <row r="84" spans="3:20" s="25" customFormat="1" ht="14.25" x14ac:dyDescent="0.2">
      <c r="C84" s="26"/>
      <c r="D84" s="4"/>
      <c r="K84" s="4"/>
      <c r="L84" s="4"/>
      <c r="M84" s="4"/>
      <c r="N84" s="4"/>
      <c r="O84" s="4"/>
      <c r="P84" s="4"/>
      <c r="Q84" s="4"/>
      <c r="R84" s="4"/>
      <c r="S84" s="4"/>
      <c r="T84" s="4"/>
    </row>
    <row r="85" spans="3:20" s="25" customFormat="1" ht="14.25" x14ac:dyDescent="0.2">
      <c r="C85" s="26"/>
      <c r="D85" s="4"/>
      <c r="K85" s="4"/>
      <c r="L85" s="4"/>
      <c r="M85" s="4"/>
      <c r="N85" s="4"/>
      <c r="O85" s="4"/>
      <c r="P85" s="4"/>
      <c r="Q85" s="4"/>
      <c r="R85" s="4"/>
      <c r="S85" s="4"/>
      <c r="T85" s="4"/>
    </row>
    <row r="86" spans="3:20" s="25" customFormat="1" ht="14.25" x14ac:dyDescent="0.2">
      <c r="C86" s="26"/>
      <c r="D86" s="4"/>
      <c r="K86" s="4"/>
      <c r="L86" s="4"/>
      <c r="M86" s="4"/>
      <c r="N86" s="4"/>
      <c r="O86" s="4"/>
      <c r="P86" s="4"/>
      <c r="Q86" s="4"/>
      <c r="R86" s="4"/>
      <c r="S86" s="4"/>
      <c r="T86" s="4"/>
    </row>
    <row r="87" spans="3:20" s="25" customFormat="1" ht="14.25" x14ac:dyDescent="0.2">
      <c r="C87" s="26"/>
      <c r="D87" s="4"/>
      <c r="K87" s="4"/>
      <c r="L87" s="4"/>
      <c r="M87" s="4"/>
      <c r="N87" s="4"/>
      <c r="O87" s="4"/>
      <c r="P87" s="4"/>
      <c r="Q87" s="4"/>
      <c r="R87" s="4"/>
      <c r="S87" s="4"/>
      <c r="T87" s="4"/>
    </row>
    <row r="88" spans="3:20" s="25" customFormat="1" ht="14.25" x14ac:dyDescent="0.2">
      <c r="C88" s="26"/>
      <c r="D88" s="4"/>
      <c r="K88" s="4"/>
      <c r="L88" s="4"/>
      <c r="M88" s="4"/>
      <c r="N88" s="4"/>
      <c r="O88" s="4"/>
      <c r="P88" s="4"/>
      <c r="Q88" s="4"/>
      <c r="R88" s="4"/>
      <c r="S88" s="4"/>
      <c r="T88" s="4"/>
    </row>
    <row r="89" spans="3:20" s="25" customFormat="1" ht="14.25" x14ac:dyDescent="0.2">
      <c r="C89" s="26"/>
      <c r="D89" s="4"/>
      <c r="K89" s="4"/>
      <c r="L89" s="4"/>
      <c r="M89" s="4"/>
      <c r="N89" s="4"/>
      <c r="O89" s="4"/>
      <c r="P89" s="4"/>
      <c r="Q89" s="4"/>
      <c r="R89" s="4"/>
      <c r="S89" s="4"/>
      <c r="T89" s="4"/>
    </row>
    <row r="90" spans="3:20" s="25" customFormat="1" ht="14.25" x14ac:dyDescent="0.2">
      <c r="C90" s="26"/>
      <c r="D90" s="4"/>
      <c r="K90" s="4"/>
      <c r="L90" s="4"/>
      <c r="M90" s="4"/>
      <c r="N90" s="4"/>
      <c r="O90" s="4"/>
      <c r="P90" s="4"/>
      <c r="Q90" s="4"/>
      <c r="R90" s="4"/>
      <c r="S90" s="4"/>
      <c r="T90" s="4"/>
    </row>
    <row r="91" spans="3:20" s="25" customFormat="1" ht="14.25" x14ac:dyDescent="0.2">
      <c r="C91" s="26"/>
      <c r="D91" s="4"/>
      <c r="K91" s="4"/>
      <c r="L91" s="4"/>
      <c r="M91" s="4"/>
      <c r="N91" s="4"/>
      <c r="O91" s="4"/>
      <c r="P91" s="4"/>
      <c r="Q91" s="4"/>
      <c r="R91" s="4"/>
      <c r="S91" s="4"/>
      <c r="T91" s="4"/>
    </row>
    <row r="92" spans="3:20" s="25" customFormat="1" ht="14.25" x14ac:dyDescent="0.2">
      <c r="C92" s="26"/>
      <c r="D92" s="4"/>
      <c r="K92" s="4"/>
      <c r="L92" s="4"/>
      <c r="M92" s="4"/>
      <c r="N92" s="4"/>
      <c r="O92" s="4"/>
      <c r="P92" s="4"/>
      <c r="Q92" s="4"/>
      <c r="R92" s="4"/>
      <c r="S92" s="4"/>
      <c r="T92" s="4"/>
    </row>
    <row r="93" spans="3:20" s="25" customFormat="1" ht="14.25" x14ac:dyDescent="0.2">
      <c r="C93" s="26"/>
      <c r="D93" s="4"/>
      <c r="K93" s="4"/>
      <c r="L93" s="4"/>
      <c r="M93" s="4"/>
      <c r="N93" s="4"/>
      <c r="O93" s="4"/>
      <c r="P93" s="4"/>
      <c r="Q93" s="4"/>
      <c r="R93" s="4"/>
      <c r="S93" s="4"/>
      <c r="T93" s="4"/>
    </row>
    <row r="94" spans="3:20" s="25" customFormat="1" ht="14.25" x14ac:dyDescent="0.2">
      <c r="C94" s="26"/>
      <c r="D94" s="4"/>
      <c r="K94" s="4"/>
      <c r="L94" s="4"/>
      <c r="M94" s="4"/>
      <c r="N94" s="4"/>
      <c r="O94" s="4"/>
      <c r="P94" s="4"/>
      <c r="Q94" s="4"/>
      <c r="R94" s="4"/>
      <c r="S94" s="4"/>
      <c r="T94" s="4"/>
    </row>
    <row r="95" spans="3:20" s="25" customFormat="1" ht="14.25" x14ac:dyDescent="0.2">
      <c r="C95" s="26"/>
      <c r="D95" s="4"/>
      <c r="K95" s="4"/>
      <c r="L95" s="4"/>
      <c r="M95" s="4"/>
      <c r="N95" s="4"/>
      <c r="O95" s="4"/>
      <c r="P95" s="4"/>
      <c r="Q95" s="4"/>
      <c r="R95" s="4"/>
      <c r="S95" s="4"/>
      <c r="T95" s="4"/>
    </row>
    <row r="96" spans="3:20" s="25" customFormat="1" ht="14.25" x14ac:dyDescent="0.2">
      <c r="C96" s="26"/>
      <c r="D96" s="4"/>
      <c r="K96" s="4"/>
      <c r="L96" s="4"/>
      <c r="M96" s="4"/>
      <c r="N96" s="4"/>
      <c r="O96" s="4"/>
      <c r="P96" s="4"/>
      <c r="Q96" s="4"/>
      <c r="R96" s="4"/>
      <c r="S96" s="4"/>
      <c r="T96" s="4"/>
    </row>
    <row r="97" spans="3:20" s="25" customFormat="1" ht="14.25" x14ac:dyDescent="0.2">
      <c r="C97" s="26"/>
      <c r="D97" s="4"/>
      <c r="K97" s="4"/>
      <c r="L97" s="4"/>
      <c r="M97" s="4"/>
      <c r="N97" s="4"/>
      <c r="O97" s="4"/>
      <c r="P97" s="4"/>
      <c r="Q97" s="4"/>
      <c r="R97" s="4"/>
      <c r="S97" s="4"/>
      <c r="T97" s="4"/>
    </row>
    <row r="98" spans="3:20" s="25" customFormat="1" ht="14.25" x14ac:dyDescent="0.2">
      <c r="C98" s="26"/>
      <c r="D98" s="4"/>
      <c r="K98" s="4"/>
      <c r="L98" s="4"/>
      <c r="M98" s="4"/>
      <c r="N98" s="4"/>
      <c r="O98" s="4"/>
      <c r="P98" s="4"/>
      <c r="Q98" s="4"/>
      <c r="R98" s="4"/>
      <c r="S98" s="4"/>
      <c r="T98" s="4"/>
    </row>
    <row r="99" spans="3:20" s="25" customFormat="1" ht="14.25" x14ac:dyDescent="0.2">
      <c r="C99" s="26"/>
      <c r="D99" s="4"/>
      <c r="K99" s="4"/>
      <c r="L99" s="4"/>
      <c r="M99" s="4"/>
      <c r="N99" s="4"/>
      <c r="O99" s="4"/>
      <c r="P99" s="4"/>
      <c r="Q99" s="4"/>
      <c r="R99" s="4"/>
      <c r="S99" s="4"/>
      <c r="T99" s="4"/>
    </row>
    <row r="100" spans="3:20" s="25" customFormat="1" ht="14.25" x14ac:dyDescent="0.2">
      <c r="C100" s="26"/>
      <c r="D100" s="4"/>
      <c r="K100" s="4"/>
      <c r="L100" s="4"/>
      <c r="M100" s="4"/>
      <c r="N100" s="4"/>
      <c r="O100" s="4"/>
      <c r="P100" s="4"/>
      <c r="Q100" s="4"/>
      <c r="R100" s="4"/>
      <c r="S100" s="4"/>
      <c r="T100" s="4"/>
    </row>
    <row r="101" spans="3:20" s="25" customFormat="1" ht="14.25" x14ac:dyDescent="0.2">
      <c r="C101" s="26"/>
      <c r="D101" s="4"/>
      <c r="K101" s="4"/>
      <c r="L101" s="4"/>
      <c r="M101" s="4"/>
      <c r="N101" s="4"/>
      <c r="O101" s="4"/>
      <c r="P101" s="4"/>
      <c r="Q101" s="4"/>
      <c r="R101" s="4"/>
      <c r="S101" s="4"/>
      <c r="T101" s="4"/>
    </row>
    <row r="102" spans="3:20" s="25" customFormat="1" ht="14.25" x14ac:dyDescent="0.2">
      <c r="C102" s="26"/>
      <c r="D102" s="4"/>
      <c r="K102" s="4"/>
      <c r="L102" s="4"/>
      <c r="M102" s="4"/>
      <c r="N102" s="4"/>
      <c r="O102" s="4"/>
      <c r="P102" s="4"/>
      <c r="Q102" s="4"/>
      <c r="R102" s="4"/>
      <c r="S102" s="4"/>
      <c r="T102" s="4"/>
    </row>
    <row r="103" spans="3:20" s="25" customFormat="1" ht="14.25" x14ac:dyDescent="0.2">
      <c r="C103" s="26"/>
      <c r="D103" s="4"/>
      <c r="K103" s="4"/>
      <c r="L103" s="4"/>
      <c r="M103" s="4"/>
      <c r="N103" s="4"/>
      <c r="O103" s="4"/>
      <c r="P103" s="4"/>
      <c r="Q103" s="4"/>
      <c r="R103" s="4"/>
      <c r="S103" s="4"/>
      <c r="T103" s="4"/>
    </row>
    <row r="104" spans="3:20" s="25" customFormat="1" ht="14.25" x14ac:dyDescent="0.2">
      <c r="C104" s="26"/>
      <c r="D104" s="4"/>
      <c r="K104" s="4"/>
      <c r="L104" s="4"/>
      <c r="M104" s="4"/>
      <c r="N104" s="4"/>
      <c r="O104" s="4"/>
      <c r="P104" s="4"/>
      <c r="Q104" s="4"/>
      <c r="R104" s="4"/>
      <c r="S104" s="4"/>
      <c r="T104" s="4"/>
    </row>
    <row r="105" spans="3:20" s="25" customFormat="1" ht="14.25" x14ac:dyDescent="0.2">
      <c r="C105" s="26"/>
      <c r="D105" s="4"/>
      <c r="K105" s="4"/>
      <c r="L105" s="4"/>
      <c r="M105" s="4"/>
      <c r="N105" s="4"/>
      <c r="O105" s="4"/>
      <c r="P105" s="4"/>
      <c r="Q105" s="4"/>
      <c r="R105" s="4"/>
      <c r="S105" s="4"/>
      <c r="T105" s="4"/>
    </row>
    <row r="106" spans="3:20" s="25" customFormat="1" ht="14.25" x14ac:dyDescent="0.2">
      <c r="C106" s="26"/>
      <c r="D106" s="4"/>
      <c r="K106" s="4"/>
      <c r="L106" s="4"/>
      <c r="M106" s="4"/>
      <c r="N106" s="4"/>
      <c r="O106" s="4"/>
      <c r="P106" s="4"/>
      <c r="Q106" s="4"/>
      <c r="R106" s="4"/>
      <c r="S106" s="4"/>
      <c r="T106" s="4"/>
    </row>
    <row r="107" spans="3:20" s="25" customFormat="1" ht="14.25" x14ac:dyDescent="0.2">
      <c r="C107" s="26"/>
      <c r="D107" s="4"/>
      <c r="K107" s="4"/>
      <c r="L107" s="4"/>
      <c r="M107" s="4"/>
      <c r="N107" s="4"/>
      <c r="O107" s="4"/>
      <c r="P107" s="4"/>
      <c r="Q107" s="4"/>
      <c r="R107" s="4"/>
      <c r="S107" s="4"/>
      <c r="T107" s="4"/>
    </row>
    <row r="108" spans="3:20" s="25" customFormat="1" ht="14.25" x14ac:dyDescent="0.2">
      <c r="C108" s="26"/>
      <c r="D108" s="4"/>
      <c r="K108" s="4"/>
      <c r="L108" s="4"/>
      <c r="M108" s="4"/>
      <c r="N108" s="4"/>
      <c r="O108" s="4"/>
      <c r="P108" s="4"/>
      <c r="Q108" s="4"/>
      <c r="R108" s="4"/>
      <c r="S108" s="4"/>
      <c r="T108" s="4"/>
    </row>
    <row r="109" spans="3:20" s="25" customFormat="1" ht="14.25" x14ac:dyDescent="0.2">
      <c r="C109" s="26"/>
      <c r="D109" s="4"/>
      <c r="K109" s="4"/>
      <c r="L109" s="4"/>
      <c r="M109" s="4"/>
      <c r="N109" s="4"/>
      <c r="O109" s="4"/>
      <c r="P109" s="4"/>
      <c r="Q109" s="4"/>
      <c r="R109" s="4"/>
      <c r="S109" s="4"/>
      <c r="T109" s="4"/>
    </row>
    <row r="110" spans="3:20" s="25" customFormat="1" ht="14.25" x14ac:dyDescent="0.2">
      <c r="C110" s="26"/>
      <c r="D110" s="4"/>
      <c r="K110" s="4"/>
      <c r="L110" s="4"/>
      <c r="M110" s="4"/>
      <c r="N110" s="4"/>
      <c r="O110" s="4"/>
      <c r="P110" s="4"/>
      <c r="Q110" s="4"/>
      <c r="R110" s="4"/>
      <c r="S110" s="4"/>
      <c r="T110" s="4"/>
    </row>
    <row r="111" spans="3:20" s="25" customFormat="1" ht="14.25" x14ac:dyDescent="0.2">
      <c r="C111" s="26"/>
      <c r="D111" s="4"/>
      <c r="K111" s="4"/>
      <c r="L111" s="4"/>
      <c r="M111" s="4"/>
      <c r="N111" s="4"/>
      <c r="O111" s="4"/>
      <c r="P111" s="4"/>
      <c r="Q111" s="4"/>
      <c r="R111" s="4"/>
      <c r="S111" s="4"/>
      <c r="T111" s="4"/>
    </row>
    <row r="112" spans="3:20" s="25" customFormat="1" ht="14.25" x14ac:dyDescent="0.2">
      <c r="C112" s="26"/>
      <c r="D112" s="4"/>
      <c r="K112" s="4"/>
      <c r="L112" s="4"/>
      <c r="M112" s="4"/>
      <c r="N112" s="4"/>
      <c r="O112" s="4"/>
      <c r="P112" s="4"/>
      <c r="Q112" s="4"/>
      <c r="R112" s="4"/>
      <c r="S112" s="4"/>
      <c r="T112" s="4"/>
    </row>
    <row r="113" spans="3:20" s="25" customFormat="1" ht="14.25" x14ac:dyDescent="0.2">
      <c r="C113" s="26"/>
      <c r="D113" s="4"/>
      <c r="K113" s="4"/>
      <c r="L113" s="4"/>
      <c r="M113" s="4"/>
      <c r="N113" s="4"/>
      <c r="O113" s="4"/>
      <c r="P113" s="4"/>
      <c r="Q113" s="4"/>
      <c r="R113" s="4"/>
      <c r="S113" s="4"/>
      <c r="T113" s="4"/>
    </row>
    <row r="114" spans="3:20" s="25" customFormat="1" ht="14.25" x14ac:dyDescent="0.2">
      <c r="C114" s="26"/>
      <c r="D114" s="4"/>
      <c r="K114" s="4"/>
      <c r="L114" s="4"/>
      <c r="M114" s="4"/>
      <c r="N114" s="4"/>
      <c r="O114" s="4"/>
      <c r="P114" s="4"/>
      <c r="Q114" s="4"/>
      <c r="R114" s="4"/>
      <c r="S114" s="4"/>
      <c r="T114" s="4"/>
    </row>
    <row r="115" spans="3:20" s="25" customFormat="1" ht="14.25" x14ac:dyDescent="0.2">
      <c r="C115" s="26"/>
      <c r="D115" s="4"/>
      <c r="K115" s="4"/>
      <c r="L115" s="4"/>
      <c r="M115" s="4"/>
      <c r="N115" s="4"/>
      <c r="O115" s="4"/>
      <c r="P115" s="4"/>
      <c r="Q115" s="4"/>
      <c r="R115" s="4"/>
      <c r="S115" s="4"/>
      <c r="T115" s="4"/>
    </row>
    <row r="116" spans="3:20" s="25" customFormat="1" ht="14.25" x14ac:dyDescent="0.2">
      <c r="C116" s="26"/>
      <c r="D116" s="4"/>
      <c r="K116" s="4"/>
      <c r="L116" s="4"/>
      <c r="M116" s="4"/>
      <c r="N116" s="4"/>
      <c r="O116" s="4"/>
      <c r="P116" s="4"/>
      <c r="Q116" s="4"/>
      <c r="R116" s="4"/>
      <c r="S116" s="4"/>
      <c r="T116" s="4"/>
    </row>
    <row r="117" spans="3:20" s="25" customFormat="1" ht="14.25" x14ac:dyDescent="0.2">
      <c r="C117" s="26"/>
      <c r="D117" s="4"/>
      <c r="K117" s="4"/>
      <c r="L117" s="4"/>
      <c r="M117" s="4"/>
      <c r="N117" s="4"/>
      <c r="O117" s="4"/>
      <c r="P117" s="4"/>
      <c r="Q117" s="4"/>
      <c r="R117" s="4"/>
      <c r="S117" s="4"/>
      <c r="T117" s="4"/>
    </row>
    <row r="118" spans="3:20" s="25" customFormat="1" ht="14.25" x14ac:dyDescent="0.2">
      <c r="C118" s="26"/>
      <c r="D118" s="4"/>
      <c r="K118" s="4"/>
      <c r="L118" s="4"/>
      <c r="M118" s="4"/>
      <c r="N118" s="4"/>
      <c r="O118" s="4"/>
      <c r="P118" s="4"/>
      <c r="Q118" s="4"/>
      <c r="R118" s="4"/>
      <c r="S118" s="4"/>
      <c r="T118" s="4"/>
    </row>
    <row r="119" spans="3:20" s="25" customFormat="1" ht="14.25" x14ac:dyDescent="0.2">
      <c r="C119" s="26"/>
      <c r="D119" s="4"/>
      <c r="K119" s="4"/>
      <c r="L119" s="4"/>
      <c r="M119" s="4"/>
      <c r="N119" s="4"/>
      <c r="O119" s="4"/>
      <c r="P119" s="4"/>
      <c r="Q119" s="4"/>
      <c r="R119" s="4"/>
      <c r="S119" s="4"/>
      <c r="T119" s="4"/>
    </row>
    <row r="120" spans="3:20" s="25" customFormat="1" ht="14.25" x14ac:dyDescent="0.2">
      <c r="C120" s="26"/>
      <c r="D120" s="4"/>
      <c r="K120" s="4"/>
      <c r="L120" s="4"/>
      <c r="M120" s="4"/>
      <c r="N120" s="4"/>
      <c r="O120" s="4"/>
      <c r="P120" s="4"/>
      <c r="Q120" s="4"/>
      <c r="R120" s="4"/>
      <c r="S120" s="4"/>
      <c r="T120" s="4"/>
    </row>
    <row r="121" spans="3:20" s="25" customFormat="1" ht="14.25" x14ac:dyDescent="0.2">
      <c r="C121" s="26"/>
      <c r="D121" s="4"/>
      <c r="K121" s="4"/>
      <c r="L121" s="4"/>
      <c r="M121" s="4"/>
      <c r="N121" s="4"/>
      <c r="O121" s="4"/>
      <c r="P121" s="4"/>
      <c r="Q121" s="4"/>
      <c r="R121" s="4"/>
      <c r="S121" s="4"/>
      <c r="T121" s="4"/>
    </row>
    <row r="122" spans="3:20" s="25" customFormat="1" ht="14.25" x14ac:dyDescent="0.2">
      <c r="C122" s="26"/>
      <c r="D122" s="4"/>
      <c r="K122" s="4"/>
      <c r="L122" s="4"/>
      <c r="M122" s="4"/>
      <c r="N122" s="4"/>
      <c r="O122" s="4"/>
      <c r="P122" s="4"/>
      <c r="Q122" s="4"/>
      <c r="R122" s="4"/>
      <c r="S122" s="4"/>
      <c r="T122" s="4"/>
    </row>
    <row r="123" spans="3:20" s="25" customFormat="1" ht="14.25" x14ac:dyDescent="0.2">
      <c r="C123" s="26"/>
      <c r="D123" s="4"/>
      <c r="K123" s="4"/>
      <c r="L123" s="4"/>
      <c r="M123" s="4"/>
      <c r="N123" s="4"/>
      <c r="O123" s="4"/>
      <c r="P123" s="4"/>
      <c r="Q123" s="4"/>
      <c r="R123" s="4"/>
      <c r="S123" s="4"/>
      <c r="T123" s="4"/>
    </row>
    <row r="124" spans="3:20" s="25" customFormat="1" ht="14.25" x14ac:dyDescent="0.2">
      <c r="C124" s="26"/>
      <c r="D124" s="4"/>
      <c r="K124" s="4"/>
      <c r="L124" s="4"/>
      <c r="M124" s="4"/>
      <c r="N124" s="4"/>
      <c r="O124" s="4"/>
      <c r="P124" s="4"/>
      <c r="Q124" s="4"/>
      <c r="R124" s="4"/>
      <c r="S124" s="4"/>
      <c r="T124" s="4"/>
    </row>
    <row r="125" spans="3:20" s="25" customFormat="1" ht="14.25" x14ac:dyDescent="0.2">
      <c r="C125" s="26"/>
      <c r="D125" s="4"/>
      <c r="K125" s="4"/>
      <c r="L125" s="4"/>
      <c r="M125" s="4"/>
      <c r="N125" s="4"/>
      <c r="O125" s="4"/>
      <c r="P125" s="4"/>
      <c r="Q125" s="4"/>
      <c r="R125" s="4"/>
      <c r="S125" s="4"/>
      <c r="T125" s="4"/>
    </row>
    <row r="126" spans="3:20" s="25" customFormat="1" ht="14.25" x14ac:dyDescent="0.2">
      <c r="C126" s="26"/>
      <c r="D126" s="4"/>
      <c r="K126" s="4"/>
      <c r="L126" s="4"/>
      <c r="M126" s="4"/>
      <c r="N126" s="4"/>
      <c r="O126" s="4"/>
      <c r="P126" s="4"/>
      <c r="Q126" s="4"/>
      <c r="R126" s="4"/>
      <c r="S126" s="4"/>
      <c r="T126" s="4"/>
    </row>
    <row r="127" spans="3:20" s="25" customFormat="1" ht="14.25" x14ac:dyDescent="0.2">
      <c r="C127" s="26"/>
      <c r="D127" s="4"/>
      <c r="K127" s="4"/>
      <c r="L127" s="4"/>
      <c r="M127" s="4"/>
      <c r="N127" s="4"/>
      <c r="O127" s="4"/>
      <c r="P127" s="4"/>
      <c r="Q127" s="4"/>
      <c r="R127" s="4"/>
      <c r="S127" s="4"/>
      <c r="T127" s="4"/>
    </row>
    <row r="128" spans="3:20" s="25" customFormat="1" ht="14.25" x14ac:dyDescent="0.2">
      <c r="C128" s="26"/>
      <c r="D128" s="4"/>
      <c r="K128" s="4"/>
      <c r="L128" s="4"/>
      <c r="M128" s="4"/>
      <c r="N128" s="4"/>
      <c r="O128" s="4"/>
      <c r="P128" s="4"/>
      <c r="Q128" s="4"/>
      <c r="R128" s="4"/>
      <c r="S128" s="4"/>
      <c r="T128" s="4"/>
    </row>
    <row r="129" spans="3:20" s="25" customFormat="1" ht="14.25" x14ac:dyDescent="0.2">
      <c r="C129" s="26"/>
      <c r="D129" s="4"/>
      <c r="K129" s="4"/>
      <c r="L129" s="4"/>
      <c r="M129" s="4"/>
      <c r="N129" s="4"/>
      <c r="O129" s="4"/>
      <c r="P129" s="4"/>
      <c r="Q129" s="4"/>
      <c r="R129" s="4"/>
      <c r="S129" s="4"/>
      <c r="T129" s="4"/>
    </row>
    <row r="130" spans="3:20" s="25" customFormat="1" ht="14.25" x14ac:dyDescent="0.2">
      <c r="C130" s="26"/>
      <c r="D130" s="4"/>
      <c r="K130" s="4"/>
      <c r="L130" s="4"/>
      <c r="M130" s="4"/>
      <c r="N130" s="4"/>
      <c r="O130" s="4"/>
      <c r="P130" s="4"/>
      <c r="Q130" s="4"/>
      <c r="R130" s="4"/>
      <c r="S130" s="4"/>
      <c r="T130" s="4"/>
    </row>
    <row r="131" spans="3:20" s="25" customFormat="1" ht="14.25" x14ac:dyDescent="0.2">
      <c r="C131" s="26"/>
      <c r="D131" s="4"/>
      <c r="K131" s="4"/>
      <c r="L131" s="4"/>
      <c r="M131" s="4"/>
      <c r="N131" s="4"/>
      <c r="O131" s="4"/>
      <c r="P131" s="4"/>
      <c r="Q131" s="4"/>
      <c r="R131" s="4"/>
      <c r="S131" s="4"/>
      <c r="T131" s="4"/>
    </row>
    <row r="132" spans="3:20" s="25" customFormat="1" ht="14.25" x14ac:dyDescent="0.2">
      <c r="C132" s="26"/>
      <c r="D132" s="4"/>
      <c r="K132" s="4"/>
      <c r="L132" s="4"/>
      <c r="M132" s="4"/>
      <c r="N132" s="4"/>
      <c r="O132" s="4"/>
      <c r="P132" s="4"/>
      <c r="Q132" s="4"/>
      <c r="R132" s="4"/>
      <c r="S132" s="4"/>
      <c r="T132" s="4"/>
    </row>
    <row r="133" spans="3:20" s="25" customFormat="1" ht="14.25" x14ac:dyDescent="0.2">
      <c r="C133" s="26"/>
      <c r="D133" s="4"/>
      <c r="K133" s="4"/>
      <c r="L133" s="4"/>
      <c r="M133" s="4"/>
      <c r="N133" s="4"/>
      <c r="O133" s="4"/>
      <c r="P133" s="4"/>
      <c r="Q133" s="4"/>
      <c r="R133" s="4"/>
      <c r="S133" s="4"/>
      <c r="T133" s="4"/>
    </row>
    <row r="134" spans="3:20" s="25" customFormat="1" ht="14.25" x14ac:dyDescent="0.2">
      <c r="C134" s="26"/>
      <c r="D134" s="4"/>
      <c r="K134" s="4"/>
      <c r="L134" s="4"/>
      <c r="M134" s="4"/>
      <c r="N134" s="4"/>
      <c r="O134" s="4"/>
      <c r="P134" s="4"/>
      <c r="Q134" s="4"/>
      <c r="R134" s="4"/>
      <c r="S134" s="4"/>
      <c r="T134" s="4"/>
    </row>
    <row r="135" spans="3:20" s="25" customFormat="1" ht="14.25" x14ac:dyDescent="0.2">
      <c r="C135" s="26"/>
      <c r="D135" s="4"/>
      <c r="K135" s="4"/>
      <c r="L135" s="4"/>
      <c r="M135" s="4"/>
      <c r="N135" s="4"/>
      <c r="O135" s="4"/>
      <c r="P135" s="4"/>
      <c r="Q135" s="4"/>
      <c r="R135" s="4"/>
      <c r="S135" s="4"/>
      <c r="T135" s="4"/>
    </row>
    <row r="136" spans="3:20" s="25" customFormat="1" ht="14.25" x14ac:dyDescent="0.2">
      <c r="C136" s="26"/>
      <c r="D136" s="4"/>
      <c r="K136" s="4"/>
      <c r="L136" s="4"/>
      <c r="M136" s="4"/>
      <c r="N136" s="4"/>
      <c r="O136" s="4"/>
      <c r="P136" s="4"/>
      <c r="Q136" s="4"/>
      <c r="R136" s="4"/>
      <c r="S136" s="4"/>
      <c r="T136" s="4"/>
    </row>
    <row r="137" spans="3:20" s="25" customFormat="1" ht="14.25" x14ac:dyDescent="0.2">
      <c r="C137" s="26"/>
      <c r="D137" s="4"/>
      <c r="K137" s="4"/>
      <c r="L137" s="4"/>
      <c r="M137" s="4"/>
      <c r="N137" s="4"/>
      <c r="O137" s="4"/>
      <c r="P137" s="4"/>
      <c r="Q137" s="4"/>
      <c r="R137" s="4"/>
      <c r="S137" s="4"/>
      <c r="T137" s="4"/>
    </row>
    <row r="138" spans="3:20" s="25" customFormat="1" ht="14.25" x14ac:dyDescent="0.2">
      <c r="C138" s="26"/>
      <c r="D138" s="4"/>
      <c r="K138" s="4"/>
      <c r="L138" s="4"/>
      <c r="M138" s="4"/>
      <c r="N138" s="4"/>
      <c r="O138" s="4"/>
      <c r="P138" s="4"/>
      <c r="Q138" s="4"/>
      <c r="R138" s="4"/>
      <c r="S138" s="4"/>
      <c r="T138" s="4"/>
    </row>
    <row r="139" spans="3:20" s="25" customFormat="1" ht="14.25" x14ac:dyDescent="0.2">
      <c r="C139" s="26"/>
      <c r="D139" s="4"/>
      <c r="K139" s="4"/>
      <c r="L139" s="4"/>
      <c r="M139" s="4"/>
      <c r="N139" s="4"/>
      <c r="O139" s="4"/>
      <c r="P139" s="4"/>
      <c r="Q139" s="4"/>
      <c r="R139" s="4"/>
      <c r="S139" s="4"/>
      <c r="T139" s="4"/>
    </row>
    <row r="140" spans="3:20" s="25" customFormat="1" ht="14.25" x14ac:dyDescent="0.2">
      <c r="C140" s="26"/>
      <c r="D140" s="4"/>
      <c r="K140" s="4"/>
      <c r="L140" s="4"/>
      <c r="M140" s="4"/>
      <c r="N140" s="4"/>
      <c r="O140" s="4"/>
      <c r="P140" s="4"/>
      <c r="Q140" s="4"/>
      <c r="R140" s="4"/>
      <c r="S140" s="4"/>
      <c r="T140" s="4"/>
    </row>
    <row r="141" spans="3:20" s="25" customFormat="1" ht="14.25" x14ac:dyDescent="0.2">
      <c r="C141" s="26"/>
      <c r="D141" s="4"/>
      <c r="K141" s="4"/>
      <c r="L141" s="4"/>
      <c r="M141" s="4"/>
      <c r="N141" s="4"/>
      <c r="O141" s="4"/>
      <c r="P141" s="4"/>
      <c r="Q141" s="4"/>
      <c r="R141" s="4"/>
      <c r="S141" s="4"/>
      <c r="T141" s="4"/>
    </row>
    <row r="142" spans="3:20" s="25" customFormat="1" ht="14.25" x14ac:dyDescent="0.2">
      <c r="C142" s="26"/>
      <c r="D142" s="4"/>
      <c r="K142" s="4"/>
      <c r="L142" s="4"/>
      <c r="M142" s="4"/>
      <c r="N142" s="4"/>
      <c r="O142" s="4"/>
      <c r="P142" s="4"/>
      <c r="Q142" s="4"/>
      <c r="R142" s="4"/>
      <c r="S142" s="4"/>
      <c r="T142" s="4"/>
    </row>
    <row r="143" spans="3:20" s="25" customFormat="1" ht="14.25" x14ac:dyDescent="0.2">
      <c r="C143" s="26"/>
      <c r="D143" s="4"/>
      <c r="K143" s="4"/>
      <c r="L143" s="4"/>
      <c r="M143" s="4"/>
      <c r="N143" s="4"/>
      <c r="O143" s="4"/>
      <c r="P143" s="4"/>
      <c r="Q143" s="4"/>
      <c r="R143" s="4"/>
      <c r="S143" s="4"/>
      <c r="T143" s="4"/>
    </row>
    <row r="144" spans="3:20" s="25" customFormat="1" ht="14.25" x14ac:dyDescent="0.2">
      <c r="C144" s="26"/>
      <c r="D144" s="4"/>
      <c r="K144" s="4"/>
      <c r="L144" s="4"/>
      <c r="M144" s="4"/>
      <c r="N144" s="4"/>
      <c r="O144" s="4"/>
      <c r="P144" s="4"/>
      <c r="Q144" s="4"/>
      <c r="R144" s="4"/>
      <c r="S144" s="4"/>
      <c r="T144" s="4"/>
    </row>
    <row r="145" spans="3:20" s="25" customFormat="1" ht="14.25" x14ac:dyDescent="0.2">
      <c r="C145" s="26"/>
      <c r="D145" s="4"/>
      <c r="K145" s="4"/>
      <c r="L145" s="4"/>
      <c r="M145" s="4"/>
      <c r="N145" s="4"/>
      <c r="O145" s="4"/>
      <c r="P145" s="4"/>
      <c r="Q145" s="4"/>
      <c r="R145" s="4"/>
      <c r="S145" s="4"/>
      <c r="T145" s="4"/>
    </row>
    <row r="146" spans="3:20" s="25" customFormat="1" ht="14.25" x14ac:dyDescent="0.2">
      <c r="C146" s="26"/>
      <c r="D146" s="4"/>
      <c r="K146" s="4"/>
      <c r="L146" s="4"/>
      <c r="M146" s="4"/>
      <c r="N146" s="4"/>
      <c r="O146" s="4"/>
      <c r="P146" s="4"/>
      <c r="Q146" s="4"/>
      <c r="R146" s="4"/>
      <c r="S146" s="4"/>
      <c r="T146" s="4"/>
    </row>
    <row r="147" spans="3:20" s="25" customFormat="1" ht="14.25" x14ac:dyDescent="0.2">
      <c r="C147" s="26"/>
      <c r="D147" s="4"/>
      <c r="K147" s="4"/>
      <c r="L147" s="4"/>
      <c r="M147" s="4"/>
      <c r="N147" s="4"/>
      <c r="O147" s="4"/>
      <c r="P147" s="4"/>
      <c r="Q147" s="4"/>
      <c r="R147" s="4"/>
      <c r="S147" s="4"/>
      <c r="T147" s="4"/>
    </row>
    <row r="148" spans="3:20" s="25" customFormat="1" ht="14.25" x14ac:dyDescent="0.2">
      <c r="C148" s="26"/>
      <c r="D148" s="4"/>
      <c r="K148" s="4"/>
      <c r="L148" s="4"/>
      <c r="M148" s="4"/>
      <c r="N148" s="4"/>
      <c r="O148" s="4"/>
      <c r="P148" s="4"/>
      <c r="Q148" s="4"/>
      <c r="R148" s="4"/>
      <c r="S148" s="4"/>
      <c r="T148" s="4"/>
    </row>
    <row r="149" spans="3:20" s="25" customFormat="1" ht="14.25" x14ac:dyDescent="0.2">
      <c r="C149" s="26"/>
      <c r="D149" s="4"/>
      <c r="K149" s="4"/>
      <c r="L149" s="4"/>
      <c r="M149" s="4"/>
      <c r="N149" s="4"/>
      <c r="O149" s="4"/>
      <c r="P149" s="4"/>
      <c r="Q149" s="4"/>
      <c r="R149" s="4"/>
      <c r="S149" s="4"/>
      <c r="T149" s="4"/>
    </row>
    <row r="150" spans="3:20" s="25" customFormat="1" ht="14.25" x14ac:dyDescent="0.2">
      <c r="C150" s="26"/>
      <c r="D150" s="4"/>
      <c r="K150" s="4"/>
      <c r="L150" s="4"/>
      <c r="M150" s="4"/>
      <c r="N150" s="4"/>
      <c r="O150" s="4"/>
      <c r="P150" s="4"/>
      <c r="Q150" s="4"/>
      <c r="R150" s="4"/>
      <c r="S150" s="4"/>
      <c r="T150" s="4"/>
    </row>
    <row r="151" spans="3:20" s="25" customFormat="1" ht="14.25" x14ac:dyDescent="0.2">
      <c r="C151" s="26"/>
      <c r="D151" s="4"/>
      <c r="K151" s="4"/>
      <c r="L151" s="4"/>
      <c r="M151" s="4"/>
      <c r="N151" s="4"/>
      <c r="O151" s="4"/>
      <c r="P151" s="4"/>
      <c r="Q151" s="4"/>
      <c r="R151" s="4"/>
      <c r="S151" s="4"/>
      <c r="T151" s="4"/>
    </row>
    <row r="152" spans="3:20" s="25" customFormat="1" ht="14.25" x14ac:dyDescent="0.2">
      <c r="C152" s="26"/>
      <c r="D152" s="4"/>
      <c r="K152" s="4"/>
      <c r="L152" s="4"/>
      <c r="M152" s="4"/>
      <c r="N152" s="4"/>
      <c r="O152" s="4"/>
      <c r="P152" s="4"/>
      <c r="Q152" s="4"/>
      <c r="R152" s="4"/>
      <c r="S152" s="4"/>
      <c r="T152" s="4"/>
    </row>
    <row r="153" spans="3:20" s="25" customFormat="1" ht="14.25" x14ac:dyDescent="0.2">
      <c r="C153" s="26"/>
      <c r="D153" s="4"/>
      <c r="K153" s="4"/>
      <c r="L153" s="4"/>
      <c r="M153" s="4"/>
      <c r="N153" s="4"/>
      <c r="O153" s="4"/>
      <c r="P153" s="4"/>
      <c r="Q153" s="4"/>
      <c r="R153" s="4"/>
      <c r="S153" s="4"/>
      <c r="T153" s="4"/>
    </row>
    <row r="154" spans="3:20" s="25" customFormat="1" ht="14.25" x14ac:dyDescent="0.2">
      <c r="C154" s="26"/>
      <c r="D154" s="4"/>
      <c r="K154" s="4"/>
      <c r="L154" s="4"/>
      <c r="M154" s="4"/>
      <c r="N154" s="4"/>
      <c r="O154" s="4"/>
      <c r="P154" s="4"/>
      <c r="Q154" s="4"/>
      <c r="R154" s="4"/>
      <c r="S154" s="4"/>
      <c r="T154" s="4"/>
    </row>
    <row r="155" spans="3:20" s="25" customFormat="1" ht="14.25" x14ac:dyDescent="0.2">
      <c r="C155" s="26"/>
      <c r="D155" s="4"/>
      <c r="K155" s="4"/>
      <c r="L155" s="4"/>
      <c r="M155" s="4"/>
      <c r="N155" s="4"/>
      <c r="O155" s="4"/>
      <c r="P155" s="4"/>
      <c r="Q155" s="4"/>
      <c r="R155" s="4"/>
      <c r="S155" s="4"/>
      <c r="T155" s="4"/>
    </row>
    <row r="156" spans="3:20" s="25" customFormat="1" ht="14.25" x14ac:dyDescent="0.2">
      <c r="C156" s="26"/>
      <c r="D156" s="4"/>
      <c r="K156" s="4"/>
      <c r="L156" s="4"/>
      <c r="M156" s="4"/>
      <c r="N156" s="4"/>
      <c r="O156" s="4"/>
      <c r="P156" s="4"/>
      <c r="Q156" s="4"/>
      <c r="R156" s="4"/>
      <c r="S156" s="4"/>
      <c r="T156" s="4"/>
    </row>
    <row r="157" spans="3:20" s="25" customFormat="1" ht="14.25" x14ac:dyDescent="0.2">
      <c r="C157" s="26"/>
      <c r="D157" s="4"/>
      <c r="K157" s="4"/>
      <c r="L157" s="4"/>
      <c r="M157" s="4"/>
      <c r="N157" s="4"/>
      <c r="O157" s="4"/>
      <c r="P157" s="4"/>
      <c r="Q157" s="4"/>
      <c r="R157" s="4"/>
      <c r="S157" s="4"/>
      <c r="T157" s="4"/>
    </row>
    <row r="158" spans="3:20" s="25" customFormat="1" ht="14.25" x14ac:dyDescent="0.2">
      <c r="C158" s="26"/>
      <c r="D158" s="4"/>
      <c r="K158" s="4"/>
      <c r="L158" s="4"/>
      <c r="M158" s="4"/>
      <c r="N158" s="4"/>
      <c r="O158" s="4"/>
      <c r="P158" s="4"/>
      <c r="Q158" s="4"/>
      <c r="R158" s="4"/>
      <c r="S158" s="4"/>
      <c r="T158" s="4"/>
    </row>
    <row r="159" spans="3:20" s="25" customFormat="1" ht="14.25" x14ac:dyDescent="0.2">
      <c r="C159" s="26"/>
      <c r="D159" s="4"/>
      <c r="K159" s="4"/>
      <c r="L159" s="4"/>
      <c r="M159" s="4"/>
      <c r="N159" s="4"/>
      <c r="O159" s="4"/>
      <c r="P159" s="4"/>
      <c r="Q159" s="4"/>
      <c r="R159" s="4"/>
      <c r="S159" s="4"/>
      <c r="T159" s="4"/>
    </row>
    <row r="160" spans="3:20" s="25" customFormat="1" ht="14.25" x14ac:dyDescent="0.2">
      <c r="C160" s="26"/>
      <c r="D160" s="4"/>
      <c r="K160" s="4"/>
      <c r="L160" s="4"/>
      <c r="M160" s="4"/>
      <c r="N160" s="4"/>
      <c r="O160" s="4"/>
      <c r="P160" s="4"/>
      <c r="Q160" s="4"/>
      <c r="R160" s="4"/>
      <c r="S160" s="4"/>
      <c r="T160" s="4"/>
    </row>
    <row r="161" spans="3:20" s="25" customFormat="1" ht="14.25" x14ac:dyDescent="0.2">
      <c r="C161" s="26"/>
      <c r="D161" s="4"/>
      <c r="K161" s="4"/>
      <c r="L161" s="4"/>
      <c r="M161" s="4"/>
      <c r="N161" s="4"/>
      <c r="O161" s="4"/>
      <c r="P161" s="4"/>
      <c r="Q161" s="4"/>
      <c r="R161" s="4"/>
      <c r="S161" s="4"/>
      <c r="T161" s="4"/>
    </row>
    <row r="162" spans="3:20" s="25" customFormat="1" ht="14.25" x14ac:dyDescent="0.2">
      <c r="C162" s="26"/>
      <c r="D162" s="4"/>
      <c r="K162" s="4"/>
      <c r="L162" s="4"/>
      <c r="M162" s="4"/>
      <c r="N162" s="4"/>
      <c r="O162" s="4"/>
      <c r="P162" s="4"/>
      <c r="Q162" s="4"/>
      <c r="R162" s="4"/>
      <c r="S162" s="4"/>
      <c r="T162" s="4"/>
    </row>
    <row r="163" spans="3:20" s="25" customFormat="1" ht="14.25" x14ac:dyDescent="0.2">
      <c r="C163" s="26"/>
      <c r="D163" s="4"/>
      <c r="K163" s="4"/>
      <c r="L163" s="4"/>
      <c r="M163" s="4"/>
      <c r="N163" s="4"/>
      <c r="O163" s="4"/>
      <c r="P163" s="4"/>
      <c r="Q163" s="4"/>
      <c r="R163" s="4"/>
      <c r="S163" s="4"/>
      <c r="T163" s="4"/>
    </row>
    <row r="164" spans="3:20" s="25" customFormat="1" ht="14.25" x14ac:dyDescent="0.2">
      <c r="C164" s="26"/>
      <c r="D164" s="4"/>
      <c r="K164" s="4"/>
      <c r="L164" s="4"/>
      <c r="M164" s="4"/>
      <c r="N164" s="4"/>
      <c r="O164" s="4"/>
      <c r="P164" s="4"/>
      <c r="Q164" s="4"/>
      <c r="R164" s="4"/>
      <c r="S164" s="4"/>
      <c r="T164" s="4"/>
    </row>
    <row r="165" spans="3:20" s="25" customFormat="1" ht="14.25" x14ac:dyDescent="0.2">
      <c r="C165" s="26"/>
      <c r="D165" s="4"/>
      <c r="K165" s="4"/>
      <c r="L165" s="4"/>
      <c r="M165" s="4"/>
      <c r="N165" s="4"/>
      <c r="O165" s="4"/>
      <c r="P165" s="4"/>
      <c r="Q165" s="4"/>
      <c r="R165" s="4"/>
      <c r="S165" s="4"/>
      <c r="T165" s="4"/>
    </row>
    <row r="166" spans="3:20" s="25" customFormat="1" ht="14.25" x14ac:dyDescent="0.2">
      <c r="C166" s="26"/>
      <c r="D166" s="4"/>
      <c r="K166" s="4"/>
      <c r="L166" s="4"/>
      <c r="M166" s="4"/>
      <c r="N166" s="4"/>
      <c r="O166" s="4"/>
      <c r="P166" s="4"/>
      <c r="Q166" s="4"/>
      <c r="R166" s="4"/>
      <c r="S166" s="4"/>
      <c r="T166" s="4"/>
    </row>
    <row r="167" spans="3:20" s="25" customFormat="1" ht="14.25" x14ac:dyDescent="0.2">
      <c r="C167" s="26"/>
      <c r="D167" s="4"/>
      <c r="K167" s="4"/>
      <c r="L167" s="4"/>
      <c r="M167" s="4"/>
      <c r="N167" s="4"/>
      <c r="O167" s="4"/>
      <c r="P167" s="4"/>
      <c r="Q167" s="4"/>
      <c r="R167" s="4"/>
      <c r="S167" s="4"/>
      <c r="T167" s="4"/>
    </row>
    <row r="168" spans="3:20" s="25" customFormat="1" ht="14.25" x14ac:dyDescent="0.2">
      <c r="C168" s="26"/>
      <c r="D168" s="4"/>
      <c r="K168" s="4"/>
      <c r="L168" s="4"/>
      <c r="M168" s="4"/>
      <c r="N168" s="4"/>
      <c r="O168" s="4"/>
      <c r="P168" s="4"/>
      <c r="Q168" s="4"/>
      <c r="R168" s="4"/>
      <c r="S168" s="4"/>
      <c r="T168" s="4"/>
    </row>
    <row r="169" spans="3:20" s="25" customFormat="1" ht="14.25" x14ac:dyDescent="0.2">
      <c r="C169" s="26"/>
      <c r="D169" s="4"/>
      <c r="K169" s="4"/>
      <c r="L169" s="4"/>
      <c r="M169" s="4"/>
      <c r="N169" s="4"/>
      <c r="O169" s="4"/>
      <c r="P169" s="4"/>
      <c r="Q169" s="4"/>
      <c r="R169" s="4"/>
      <c r="S169" s="4"/>
      <c r="T169" s="4"/>
    </row>
    <row r="170" spans="3:20" s="25" customFormat="1" ht="14.25" x14ac:dyDescent="0.2">
      <c r="C170" s="26"/>
      <c r="D170" s="4"/>
      <c r="K170" s="4"/>
      <c r="L170" s="4"/>
      <c r="M170" s="4"/>
      <c r="N170" s="4"/>
      <c r="O170" s="4"/>
      <c r="P170" s="4"/>
      <c r="Q170" s="4"/>
      <c r="R170" s="4"/>
      <c r="S170" s="4"/>
      <c r="T170" s="4"/>
    </row>
    <row r="171" spans="3:20" s="25" customFormat="1" ht="14.25" x14ac:dyDescent="0.2">
      <c r="C171" s="26"/>
      <c r="D171" s="4"/>
      <c r="K171" s="4"/>
      <c r="L171" s="4"/>
      <c r="M171" s="4"/>
      <c r="N171" s="4"/>
      <c r="O171" s="4"/>
      <c r="P171" s="4"/>
      <c r="Q171" s="4"/>
      <c r="R171" s="4"/>
      <c r="S171" s="4"/>
      <c r="T171" s="4"/>
    </row>
    <row r="172" spans="3:20" s="25" customFormat="1" ht="14.25" x14ac:dyDescent="0.2">
      <c r="C172" s="26"/>
      <c r="D172" s="4"/>
      <c r="K172" s="4"/>
      <c r="L172" s="4"/>
      <c r="M172" s="4"/>
      <c r="N172" s="4"/>
      <c r="O172" s="4"/>
      <c r="P172" s="4"/>
      <c r="Q172" s="4"/>
      <c r="R172" s="4"/>
      <c r="S172" s="4"/>
      <c r="T172" s="4"/>
    </row>
    <row r="173" spans="3:20" s="25" customFormat="1" ht="14.25" x14ac:dyDescent="0.2">
      <c r="C173" s="26"/>
      <c r="D173" s="4"/>
      <c r="K173" s="4"/>
      <c r="L173" s="4"/>
      <c r="M173" s="4"/>
      <c r="N173" s="4"/>
      <c r="O173" s="4"/>
      <c r="P173" s="4"/>
      <c r="Q173" s="4"/>
      <c r="R173" s="4"/>
      <c r="S173" s="4"/>
      <c r="T173" s="4"/>
    </row>
    <row r="174" spans="3:20" s="25" customFormat="1" ht="14.25" x14ac:dyDescent="0.2">
      <c r="C174" s="26"/>
      <c r="D174" s="4"/>
      <c r="K174" s="4"/>
      <c r="L174" s="4"/>
      <c r="M174" s="4"/>
      <c r="N174" s="4"/>
      <c r="O174" s="4"/>
      <c r="P174" s="4"/>
      <c r="Q174" s="4"/>
      <c r="R174" s="4"/>
      <c r="S174" s="4"/>
      <c r="T174" s="4"/>
    </row>
    <row r="175" spans="3:20" s="25" customFormat="1" ht="14.25" x14ac:dyDescent="0.2">
      <c r="C175" s="26"/>
      <c r="D175" s="4"/>
      <c r="K175" s="4"/>
      <c r="L175" s="4"/>
      <c r="M175" s="4"/>
      <c r="N175" s="4"/>
      <c r="O175" s="4"/>
      <c r="P175" s="4"/>
      <c r="Q175" s="4"/>
      <c r="R175" s="4"/>
      <c r="S175" s="4"/>
      <c r="T175" s="4"/>
    </row>
    <row r="176" spans="3:20" s="25" customFormat="1" ht="14.25" x14ac:dyDescent="0.2">
      <c r="C176" s="26"/>
      <c r="D176" s="4"/>
      <c r="K176" s="4"/>
      <c r="L176" s="4"/>
      <c r="M176" s="4"/>
      <c r="N176" s="4"/>
      <c r="O176" s="4"/>
      <c r="P176" s="4"/>
      <c r="Q176" s="4"/>
      <c r="R176" s="4"/>
      <c r="S176" s="4"/>
      <c r="T176" s="4"/>
    </row>
    <row r="177" spans="3:20" s="25" customFormat="1" ht="14.25" x14ac:dyDescent="0.2">
      <c r="C177" s="26"/>
      <c r="D177" s="4"/>
      <c r="K177" s="4"/>
      <c r="L177" s="4"/>
      <c r="M177" s="4"/>
      <c r="N177" s="4"/>
      <c r="O177" s="4"/>
      <c r="P177" s="4"/>
      <c r="Q177" s="4"/>
      <c r="R177" s="4"/>
      <c r="S177" s="4"/>
      <c r="T177" s="4"/>
    </row>
    <row r="178" spans="3:20" s="25" customFormat="1" ht="14.25" x14ac:dyDescent="0.2">
      <c r="C178" s="26"/>
      <c r="D178" s="4"/>
      <c r="K178" s="4"/>
      <c r="L178" s="4"/>
      <c r="M178" s="4"/>
      <c r="N178" s="4"/>
      <c r="O178" s="4"/>
      <c r="P178" s="4"/>
      <c r="Q178" s="4"/>
      <c r="R178" s="4"/>
      <c r="S178" s="4"/>
      <c r="T178" s="4"/>
    </row>
    <row r="179" spans="3:20" s="25" customFormat="1" ht="14.25" x14ac:dyDescent="0.2">
      <c r="C179" s="26"/>
      <c r="D179" s="4"/>
      <c r="K179" s="4"/>
      <c r="L179" s="4"/>
      <c r="M179" s="4"/>
      <c r="N179" s="4"/>
      <c r="O179" s="4"/>
      <c r="P179" s="4"/>
      <c r="Q179" s="4"/>
      <c r="R179" s="4"/>
      <c r="S179" s="4"/>
      <c r="T179" s="4"/>
    </row>
    <row r="180" spans="3:20" s="25" customFormat="1" ht="14.25" x14ac:dyDescent="0.2">
      <c r="C180" s="26"/>
      <c r="D180" s="4"/>
      <c r="K180" s="4"/>
      <c r="L180" s="4"/>
      <c r="M180" s="4"/>
      <c r="N180" s="4"/>
      <c r="O180" s="4"/>
      <c r="P180" s="4"/>
      <c r="Q180" s="4"/>
      <c r="R180" s="4"/>
      <c r="S180" s="4"/>
      <c r="T180" s="4"/>
    </row>
    <row r="181" spans="3:20" s="25" customFormat="1" ht="14.25" x14ac:dyDescent="0.2">
      <c r="C181" s="26"/>
      <c r="D181" s="4"/>
      <c r="K181" s="4"/>
      <c r="L181" s="4"/>
      <c r="M181" s="4"/>
      <c r="N181" s="4"/>
      <c r="O181" s="4"/>
      <c r="P181" s="4"/>
      <c r="Q181" s="4"/>
      <c r="R181" s="4"/>
      <c r="S181" s="4"/>
      <c r="T181" s="4"/>
    </row>
    <row r="182" spans="3:20" s="25" customFormat="1" ht="14.25" x14ac:dyDescent="0.2">
      <c r="C182" s="26"/>
      <c r="D182" s="4"/>
      <c r="K182" s="4"/>
      <c r="L182" s="4"/>
      <c r="M182" s="4"/>
      <c r="N182" s="4"/>
      <c r="O182" s="4"/>
      <c r="P182" s="4"/>
      <c r="Q182" s="4"/>
      <c r="R182" s="4"/>
      <c r="S182" s="4"/>
      <c r="T182" s="4"/>
    </row>
    <row r="183" spans="3:20" s="25" customFormat="1" ht="14.25" x14ac:dyDescent="0.2">
      <c r="C183" s="26"/>
      <c r="D183" s="4"/>
      <c r="K183" s="4"/>
      <c r="L183" s="4"/>
      <c r="M183" s="4"/>
      <c r="N183" s="4"/>
      <c r="O183" s="4"/>
      <c r="P183" s="4"/>
      <c r="Q183" s="4"/>
      <c r="R183" s="4"/>
      <c r="S183" s="4"/>
      <c r="T183" s="4"/>
    </row>
    <row r="184" spans="3:20" s="25" customFormat="1" ht="14.25" x14ac:dyDescent="0.2">
      <c r="C184" s="26"/>
      <c r="D184" s="4"/>
      <c r="K184" s="4"/>
      <c r="L184" s="4"/>
      <c r="M184" s="4"/>
      <c r="N184" s="4"/>
      <c r="O184" s="4"/>
      <c r="P184" s="4"/>
      <c r="Q184" s="4"/>
      <c r="R184" s="4"/>
      <c r="S184" s="4"/>
      <c r="T184" s="4"/>
    </row>
    <row r="185" spans="3:20" s="25" customFormat="1" ht="14.25" x14ac:dyDescent="0.2">
      <c r="C185" s="26"/>
      <c r="D185" s="4"/>
      <c r="K185" s="4"/>
      <c r="L185" s="4"/>
      <c r="M185" s="4"/>
      <c r="N185" s="4"/>
      <c r="O185" s="4"/>
      <c r="P185" s="4"/>
      <c r="Q185" s="4"/>
      <c r="R185" s="4"/>
      <c r="S185" s="4"/>
      <c r="T185" s="4"/>
    </row>
    <row r="186" spans="3:20" s="25" customFormat="1" ht="14.25" x14ac:dyDescent="0.2">
      <c r="C186" s="26"/>
      <c r="D186" s="4"/>
      <c r="K186" s="4"/>
      <c r="L186" s="4"/>
      <c r="M186" s="4"/>
      <c r="N186" s="4"/>
      <c r="O186" s="4"/>
      <c r="P186" s="4"/>
      <c r="Q186" s="4"/>
      <c r="R186" s="4"/>
      <c r="S186" s="4"/>
      <c r="T186" s="4"/>
    </row>
    <row r="187" spans="3:20" s="25" customFormat="1" ht="14.25" x14ac:dyDescent="0.2">
      <c r="C187" s="26"/>
      <c r="D187" s="4"/>
      <c r="K187" s="4"/>
      <c r="L187" s="4"/>
      <c r="M187" s="4"/>
      <c r="N187" s="4"/>
      <c r="O187" s="4"/>
      <c r="P187" s="4"/>
      <c r="Q187" s="4"/>
      <c r="R187" s="4"/>
      <c r="S187" s="4"/>
      <c r="T187" s="4"/>
    </row>
    <row r="188" spans="3:20" s="25" customFormat="1" ht="14.25" x14ac:dyDescent="0.2">
      <c r="C188" s="26"/>
      <c r="D188" s="4"/>
      <c r="K188" s="4"/>
      <c r="L188" s="4"/>
      <c r="M188" s="4"/>
      <c r="N188" s="4"/>
      <c r="O188" s="4"/>
      <c r="P188" s="4"/>
      <c r="Q188" s="4"/>
      <c r="R188" s="4"/>
      <c r="S188" s="4"/>
      <c r="T188" s="4"/>
    </row>
    <row r="189" spans="3:20" s="25" customFormat="1" ht="14.25" x14ac:dyDescent="0.2">
      <c r="C189" s="26"/>
      <c r="D189" s="4"/>
      <c r="K189" s="4"/>
      <c r="L189" s="4"/>
      <c r="M189" s="4"/>
      <c r="N189" s="4"/>
      <c r="O189" s="4"/>
      <c r="P189" s="4"/>
      <c r="Q189" s="4"/>
      <c r="R189" s="4"/>
      <c r="S189" s="4"/>
      <c r="T189" s="4"/>
    </row>
    <row r="190" spans="3:20" s="25" customFormat="1" ht="14.25" x14ac:dyDescent="0.2">
      <c r="C190" s="26"/>
      <c r="D190" s="4"/>
      <c r="K190" s="4"/>
      <c r="L190" s="4"/>
      <c r="M190" s="4"/>
      <c r="N190" s="4"/>
      <c r="O190" s="4"/>
      <c r="P190" s="4"/>
      <c r="Q190" s="4"/>
      <c r="R190" s="4"/>
      <c r="S190" s="4"/>
      <c r="T190" s="4"/>
    </row>
    <row r="191" spans="3:20" s="25" customFormat="1" ht="14.25" x14ac:dyDescent="0.2">
      <c r="C191" s="26"/>
      <c r="D191" s="4"/>
      <c r="K191" s="4"/>
      <c r="L191" s="4"/>
      <c r="M191" s="4"/>
      <c r="N191" s="4"/>
      <c r="O191" s="4"/>
      <c r="P191" s="4"/>
      <c r="Q191" s="4"/>
      <c r="R191" s="4"/>
      <c r="S191" s="4"/>
      <c r="T191" s="4"/>
    </row>
    <row r="192" spans="3:20" s="25" customFormat="1" ht="14.25" x14ac:dyDescent="0.2">
      <c r="C192" s="26"/>
      <c r="D192" s="4"/>
      <c r="K192" s="4"/>
      <c r="L192" s="4"/>
      <c r="M192" s="4"/>
      <c r="N192" s="4"/>
      <c r="O192" s="4"/>
      <c r="P192" s="4"/>
      <c r="Q192" s="4"/>
      <c r="R192" s="4"/>
      <c r="S192" s="4"/>
      <c r="T192" s="4"/>
    </row>
    <row r="193" spans="3:20" s="25" customFormat="1" ht="14.25" x14ac:dyDescent="0.2">
      <c r="C193" s="26"/>
      <c r="D193" s="4"/>
      <c r="K193" s="4"/>
      <c r="L193" s="4"/>
      <c r="M193" s="4"/>
      <c r="N193" s="4"/>
      <c r="O193" s="4"/>
      <c r="P193" s="4"/>
      <c r="Q193" s="4"/>
      <c r="R193" s="4"/>
      <c r="S193" s="4"/>
      <c r="T193" s="4"/>
    </row>
    <row r="194" spans="3:20" s="25" customFormat="1" ht="14.25" x14ac:dyDescent="0.2">
      <c r="C194" s="26"/>
      <c r="D194" s="4"/>
      <c r="K194" s="4"/>
      <c r="L194" s="4"/>
      <c r="M194" s="4"/>
      <c r="N194" s="4"/>
      <c r="O194" s="4"/>
      <c r="P194" s="4"/>
      <c r="Q194" s="4"/>
      <c r="R194" s="4"/>
      <c r="S194" s="4"/>
      <c r="T194" s="4"/>
    </row>
    <row r="195" spans="3:20" s="25" customFormat="1" ht="14.25" x14ac:dyDescent="0.2">
      <c r="C195" s="26"/>
      <c r="D195" s="4"/>
      <c r="K195" s="4"/>
      <c r="L195" s="4"/>
      <c r="M195" s="4"/>
      <c r="N195" s="4"/>
      <c r="O195" s="4"/>
      <c r="P195" s="4"/>
      <c r="Q195" s="4"/>
      <c r="R195" s="4"/>
      <c r="S195" s="4"/>
      <c r="T195" s="4"/>
    </row>
    <row r="196" spans="3:20" s="25" customFormat="1" ht="14.25" x14ac:dyDescent="0.2">
      <c r="C196" s="26"/>
      <c r="D196" s="4"/>
      <c r="K196" s="4"/>
      <c r="L196" s="4"/>
      <c r="M196" s="4"/>
      <c r="N196" s="4"/>
      <c r="O196" s="4"/>
      <c r="P196" s="4"/>
      <c r="Q196" s="4"/>
      <c r="R196" s="4"/>
      <c r="S196" s="4"/>
      <c r="T196" s="4"/>
    </row>
    <row r="197" spans="3:20" s="25" customFormat="1" ht="14.25" x14ac:dyDescent="0.2">
      <c r="C197" s="26"/>
      <c r="D197" s="4"/>
      <c r="K197" s="4"/>
      <c r="L197" s="4"/>
      <c r="M197" s="4"/>
      <c r="N197" s="4"/>
      <c r="O197" s="4"/>
      <c r="P197" s="4"/>
      <c r="Q197" s="4"/>
      <c r="R197" s="4"/>
      <c r="S197" s="4"/>
      <c r="T197" s="4"/>
    </row>
    <row r="198" spans="3:20" s="25" customFormat="1" ht="14.25" x14ac:dyDescent="0.2">
      <c r="C198" s="26"/>
      <c r="D198" s="4"/>
      <c r="K198" s="4"/>
      <c r="L198" s="4"/>
      <c r="M198" s="4"/>
      <c r="N198" s="4"/>
      <c r="O198" s="4"/>
      <c r="P198" s="4"/>
      <c r="Q198" s="4"/>
      <c r="R198" s="4"/>
      <c r="S198" s="4"/>
      <c r="T198" s="4"/>
    </row>
    <row r="199" spans="3:20" s="25" customFormat="1" ht="14.25" x14ac:dyDescent="0.2">
      <c r="C199" s="26"/>
      <c r="D199" s="4"/>
      <c r="K199" s="4"/>
      <c r="L199" s="4"/>
      <c r="M199" s="4"/>
      <c r="N199" s="4"/>
      <c r="O199" s="4"/>
      <c r="P199" s="4"/>
      <c r="Q199" s="4"/>
      <c r="R199" s="4"/>
      <c r="S199" s="4"/>
      <c r="T199" s="4"/>
    </row>
    <row r="200" spans="3:20" s="25" customFormat="1" ht="14.25" x14ac:dyDescent="0.2">
      <c r="C200" s="26"/>
      <c r="D200" s="4"/>
      <c r="K200" s="4"/>
      <c r="L200" s="4"/>
      <c r="M200" s="4"/>
      <c r="N200" s="4"/>
      <c r="O200" s="4"/>
      <c r="P200" s="4"/>
      <c r="Q200" s="4"/>
      <c r="R200" s="4"/>
      <c r="S200" s="4"/>
      <c r="T200" s="4"/>
    </row>
    <row r="201" spans="3:20" s="25" customFormat="1" ht="14.25" x14ac:dyDescent="0.2">
      <c r="C201" s="26"/>
      <c r="D201" s="4"/>
      <c r="K201" s="4"/>
      <c r="L201" s="4"/>
      <c r="M201" s="4"/>
      <c r="N201" s="4"/>
      <c r="O201" s="4"/>
      <c r="P201" s="4"/>
      <c r="Q201" s="4"/>
      <c r="R201" s="4"/>
      <c r="S201" s="4"/>
      <c r="T201" s="4"/>
    </row>
    <row r="202" spans="3:20" s="25" customFormat="1" ht="14.25" x14ac:dyDescent="0.2">
      <c r="C202" s="26"/>
      <c r="D202" s="4"/>
      <c r="K202" s="4"/>
      <c r="L202" s="4"/>
      <c r="M202" s="4"/>
      <c r="N202" s="4"/>
      <c r="O202" s="4"/>
      <c r="P202" s="4"/>
      <c r="Q202" s="4"/>
      <c r="R202" s="4"/>
      <c r="S202" s="4"/>
      <c r="T202" s="4"/>
    </row>
    <row r="203" spans="3:20" s="25" customFormat="1" ht="14.25" x14ac:dyDescent="0.2">
      <c r="C203" s="26"/>
      <c r="D203" s="4"/>
      <c r="K203" s="4"/>
      <c r="L203" s="4"/>
      <c r="M203" s="4"/>
      <c r="N203" s="4"/>
      <c r="O203" s="4"/>
      <c r="P203" s="4"/>
      <c r="Q203" s="4"/>
      <c r="R203" s="4"/>
      <c r="S203" s="4"/>
      <c r="T203" s="4"/>
    </row>
    <row r="204" spans="3:20" s="25" customFormat="1" ht="14.25" x14ac:dyDescent="0.2">
      <c r="C204" s="26"/>
      <c r="D204" s="4"/>
      <c r="K204" s="4"/>
      <c r="L204" s="4"/>
      <c r="M204" s="4"/>
      <c r="N204" s="4"/>
      <c r="O204" s="4"/>
      <c r="P204" s="4"/>
      <c r="Q204" s="4"/>
      <c r="R204" s="4"/>
      <c r="S204" s="4"/>
      <c r="T204" s="4"/>
    </row>
    <row r="205" spans="3:20" s="25" customFormat="1" ht="14.25" x14ac:dyDescent="0.2">
      <c r="C205" s="26"/>
      <c r="D205" s="4"/>
      <c r="K205" s="4"/>
      <c r="L205" s="4"/>
      <c r="M205" s="4"/>
      <c r="N205" s="4"/>
      <c r="O205" s="4"/>
      <c r="P205" s="4"/>
      <c r="Q205" s="4"/>
      <c r="R205" s="4"/>
      <c r="S205" s="4"/>
      <c r="T205" s="4"/>
    </row>
    <row r="206" spans="3:20" s="25" customFormat="1" ht="14.25" x14ac:dyDescent="0.2">
      <c r="C206" s="26"/>
      <c r="D206" s="4"/>
      <c r="K206" s="4"/>
      <c r="L206" s="4"/>
      <c r="M206" s="4"/>
      <c r="N206" s="4"/>
      <c r="O206" s="4"/>
      <c r="P206" s="4"/>
      <c r="Q206" s="4"/>
      <c r="R206" s="4"/>
      <c r="S206" s="4"/>
      <c r="T206" s="4"/>
    </row>
    <row r="207" spans="3:20" s="25" customFormat="1" ht="14.25" x14ac:dyDescent="0.2">
      <c r="C207" s="26"/>
      <c r="D207" s="4"/>
      <c r="K207" s="4"/>
      <c r="L207" s="4"/>
      <c r="M207" s="4"/>
      <c r="N207" s="4"/>
      <c r="O207" s="4"/>
      <c r="P207" s="4"/>
      <c r="Q207" s="4"/>
      <c r="R207" s="4"/>
      <c r="S207" s="4"/>
      <c r="T207" s="4"/>
    </row>
    <row r="208" spans="3:20" s="25" customFormat="1" ht="14.25" x14ac:dyDescent="0.2">
      <c r="C208" s="26"/>
      <c r="D208" s="4"/>
      <c r="K208" s="4"/>
      <c r="L208" s="4"/>
      <c r="M208" s="4"/>
      <c r="N208" s="4"/>
      <c r="O208" s="4"/>
      <c r="P208" s="4"/>
      <c r="Q208" s="4"/>
      <c r="R208" s="4"/>
      <c r="S208" s="4"/>
      <c r="T208" s="4"/>
    </row>
    <row r="209" spans="3:20" s="25" customFormat="1" ht="14.25" x14ac:dyDescent="0.2">
      <c r="C209" s="26"/>
      <c r="D209" s="4"/>
      <c r="K209" s="4"/>
      <c r="L209" s="4"/>
      <c r="M209" s="4"/>
      <c r="N209" s="4"/>
      <c r="O209" s="4"/>
      <c r="P209" s="4"/>
      <c r="Q209" s="4"/>
      <c r="R209" s="4"/>
      <c r="S209" s="4"/>
      <c r="T209" s="4"/>
    </row>
    <row r="210" spans="3:20" s="25" customFormat="1" ht="14.25" x14ac:dyDescent="0.2">
      <c r="C210" s="26"/>
      <c r="D210" s="4"/>
      <c r="K210" s="4"/>
      <c r="L210" s="4"/>
      <c r="M210" s="4"/>
      <c r="N210" s="4"/>
      <c r="O210" s="4"/>
      <c r="P210" s="4"/>
      <c r="Q210" s="4"/>
      <c r="R210" s="4"/>
      <c r="S210" s="4"/>
      <c r="T210" s="4"/>
    </row>
    <row r="211" spans="3:20" s="25" customFormat="1" ht="14.25" x14ac:dyDescent="0.2">
      <c r="C211" s="26"/>
      <c r="D211" s="4"/>
      <c r="K211" s="4"/>
      <c r="L211" s="4"/>
      <c r="M211" s="4"/>
      <c r="N211" s="4"/>
      <c r="O211" s="4"/>
      <c r="P211" s="4"/>
      <c r="Q211" s="4"/>
      <c r="R211" s="4"/>
      <c r="S211" s="4"/>
      <c r="T211" s="4"/>
    </row>
    <row r="212" spans="3:20" s="25" customFormat="1" ht="14.25" x14ac:dyDescent="0.2">
      <c r="C212" s="26"/>
      <c r="D212" s="4"/>
      <c r="K212" s="4"/>
      <c r="L212" s="4"/>
      <c r="M212" s="4"/>
      <c r="N212" s="4"/>
      <c r="O212" s="4"/>
      <c r="P212" s="4"/>
      <c r="Q212" s="4"/>
      <c r="R212" s="4"/>
      <c r="S212" s="4"/>
      <c r="T212" s="4"/>
    </row>
    <row r="213" spans="3:20" s="25" customFormat="1" ht="14.25" x14ac:dyDescent="0.2">
      <c r="C213" s="26"/>
      <c r="D213" s="4"/>
      <c r="K213" s="4"/>
      <c r="L213" s="4"/>
      <c r="M213" s="4"/>
      <c r="N213" s="4"/>
      <c r="O213" s="4"/>
      <c r="P213" s="4"/>
      <c r="Q213" s="4"/>
      <c r="R213" s="4"/>
      <c r="S213" s="4"/>
      <c r="T213" s="4"/>
    </row>
    <row r="214" spans="3:20" s="25" customFormat="1" ht="14.25" x14ac:dyDescent="0.2">
      <c r="C214" s="26"/>
      <c r="D214" s="4"/>
      <c r="K214" s="4"/>
      <c r="L214" s="4"/>
      <c r="M214" s="4"/>
      <c r="N214" s="4"/>
      <c r="O214" s="4"/>
      <c r="P214" s="4"/>
      <c r="Q214" s="4"/>
      <c r="R214" s="4"/>
      <c r="S214" s="4"/>
      <c r="T214" s="4"/>
    </row>
    <row r="215" spans="3:20" s="25" customFormat="1" ht="14.25" x14ac:dyDescent="0.2">
      <c r="C215" s="26"/>
      <c r="D215" s="4"/>
      <c r="K215" s="4"/>
      <c r="L215" s="4"/>
      <c r="M215" s="4"/>
      <c r="N215" s="4"/>
      <c r="O215" s="4"/>
      <c r="P215" s="4"/>
      <c r="Q215" s="4"/>
      <c r="R215" s="4"/>
      <c r="S215" s="4"/>
      <c r="T215" s="4"/>
    </row>
    <row r="216" spans="3:20" s="25" customFormat="1" ht="14.25" x14ac:dyDescent="0.2">
      <c r="C216" s="26"/>
      <c r="D216" s="4"/>
      <c r="K216" s="4"/>
      <c r="L216" s="4"/>
      <c r="M216" s="4"/>
      <c r="N216" s="4"/>
      <c r="O216" s="4"/>
      <c r="P216" s="4"/>
      <c r="Q216" s="4"/>
      <c r="R216" s="4"/>
      <c r="S216" s="4"/>
      <c r="T216" s="4"/>
    </row>
    <row r="217" spans="3:20" s="25" customFormat="1" ht="14.25" x14ac:dyDescent="0.2">
      <c r="C217" s="26"/>
      <c r="D217" s="4"/>
      <c r="K217" s="4"/>
      <c r="L217" s="4"/>
      <c r="M217" s="4"/>
      <c r="N217" s="4"/>
      <c r="O217" s="4"/>
      <c r="P217" s="4"/>
      <c r="Q217" s="4"/>
      <c r="R217" s="4"/>
      <c r="S217" s="4"/>
      <c r="T217" s="4"/>
    </row>
    <row r="218" spans="3:20" s="25" customFormat="1" ht="14.25" x14ac:dyDescent="0.2">
      <c r="C218" s="26"/>
      <c r="D218" s="4"/>
      <c r="K218" s="4"/>
      <c r="L218" s="4"/>
      <c r="M218" s="4"/>
      <c r="N218" s="4"/>
      <c r="O218" s="4"/>
      <c r="P218" s="4"/>
      <c r="Q218" s="4"/>
      <c r="R218" s="4"/>
      <c r="S218" s="4"/>
      <c r="T218" s="4"/>
    </row>
    <row r="219" spans="3:20" s="25" customFormat="1" ht="14.25" x14ac:dyDescent="0.2">
      <c r="C219" s="26"/>
      <c r="D219" s="4"/>
      <c r="K219" s="4"/>
      <c r="L219" s="4"/>
      <c r="M219" s="4"/>
      <c r="N219" s="4"/>
      <c r="O219" s="4"/>
      <c r="P219" s="4"/>
      <c r="Q219" s="4"/>
      <c r="R219" s="4"/>
      <c r="S219" s="4"/>
      <c r="T219" s="4"/>
    </row>
    <row r="220" spans="3:20" s="25" customFormat="1" ht="14.25" x14ac:dyDescent="0.2">
      <c r="C220" s="26"/>
      <c r="D220" s="4"/>
      <c r="K220" s="4"/>
      <c r="L220" s="4"/>
      <c r="M220" s="4"/>
      <c r="N220" s="4"/>
      <c r="O220" s="4"/>
      <c r="P220" s="4"/>
      <c r="Q220" s="4"/>
      <c r="R220" s="4"/>
      <c r="S220" s="4"/>
      <c r="T220" s="4"/>
    </row>
    <row r="221" spans="3:20" s="25" customFormat="1" ht="14.25" x14ac:dyDescent="0.2">
      <c r="C221" s="26"/>
      <c r="D221" s="4"/>
      <c r="K221" s="4"/>
      <c r="L221" s="4"/>
      <c r="M221" s="4"/>
      <c r="N221" s="4"/>
      <c r="O221" s="4"/>
      <c r="P221" s="4"/>
      <c r="Q221" s="4"/>
      <c r="R221" s="4"/>
      <c r="S221" s="4"/>
      <c r="T221" s="4"/>
    </row>
    <row r="222" spans="3:20" s="25" customFormat="1" ht="14.25" x14ac:dyDescent="0.2">
      <c r="C222" s="26"/>
      <c r="D222" s="4"/>
      <c r="K222" s="4"/>
      <c r="L222" s="4"/>
      <c r="M222" s="4"/>
      <c r="N222" s="4"/>
      <c r="O222" s="4"/>
      <c r="P222" s="4"/>
      <c r="Q222" s="4"/>
      <c r="R222" s="4"/>
      <c r="S222" s="4"/>
      <c r="T222" s="4"/>
    </row>
    <row r="223" spans="3:20" s="25" customFormat="1" ht="14.25" x14ac:dyDescent="0.2">
      <c r="C223" s="26"/>
      <c r="D223" s="4"/>
      <c r="K223" s="4"/>
      <c r="L223" s="4"/>
      <c r="M223" s="4"/>
      <c r="N223" s="4"/>
      <c r="O223" s="4"/>
      <c r="P223" s="4"/>
      <c r="Q223" s="4"/>
      <c r="R223" s="4"/>
      <c r="S223" s="4"/>
      <c r="T223" s="4"/>
    </row>
    <row r="224" spans="3:20" s="25" customFormat="1" ht="14.25" x14ac:dyDescent="0.2">
      <c r="C224" s="26"/>
      <c r="D224" s="4"/>
      <c r="K224" s="4"/>
      <c r="L224" s="4"/>
      <c r="M224" s="4"/>
      <c r="N224" s="4"/>
      <c r="O224" s="4"/>
      <c r="P224" s="4"/>
      <c r="Q224" s="4"/>
      <c r="R224" s="4"/>
      <c r="S224" s="4"/>
      <c r="T224" s="4"/>
    </row>
    <row r="225" spans="3:20" s="25" customFormat="1" ht="14.25" x14ac:dyDescent="0.2">
      <c r="C225" s="26"/>
      <c r="D225" s="4"/>
      <c r="K225" s="4"/>
      <c r="L225" s="4"/>
      <c r="M225" s="4"/>
      <c r="N225" s="4"/>
      <c r="O225" s="4"/>
      <c r="P225" s="4"/>
      <c r="Q225" s="4"/>
      <c r="R225" s="4"/>
      <c r="S225" s="4"/>
      <c r="T225" s="4"/>
    </row>
    <row r="226" spans="3:20" s="25" customFormat="1" ht="14.25" x14ac:dyDescent="0.2">
      <c r="C226" s="26"/>
      <c r="D226" s="4"/>
      <c r="K226" s="4"/>
      <c r="L226" s="4"/>
      <c r="M226" s="4"/>
      <c r="N226" s="4"/>
      <c r="O226" s="4"/>
      <c r="P226" s="4"/>
      <c r="Q226" s="4"/>
      <c r="R226" s="4"/>
      <c r="S226" s="4"/>
      <c r="T226" s="4"/>
    </row>
    <row r="227" spans="3:20" s="25" customFormat="1" ht="14.25" x14ac:dyDescent="0.2">
      <c r="C227" s="26"/>
      <c r="D227" s="4"/>
      <c r="K227" s="4"/>
      <c r="L227" s="4"/>
      <c r="M227" s="4"/>
      <c r="N227" s="4"/>
      <c r="O227" s="4"/>
      <c r="P227" s="4"/>
      <c r="Q227" s="4"/>
      <c r="R227" s="4"/>
      <c r="S227" s="4"/>
      <c r="T227" s="4"/>
    </row>
    <row r="228" spans="3:20" s="25" customFormat="1" ht="14.25" x14ac:dyDescent="0.2">
      <c r="C228" s="26"/>
      <c r="D228" s="4"/>
      <c r="K228" s="4"/>
      <c r="L228" s="4"/>
      <c r="M228" s="4"/>
      <c r="N228" s="4"/>
      <c r="O228" s="4"/>
      <c r="P228" s="4"/>
      <c r="Q228" s="4"/>
      <c r="R228" s="4"/>
      <c r="S228" s="4"/>
      <c r="T228" s="4"/>
    </row>
    <row r="229" spans="3:20" s="25" customFormat="1" ht="14.25" x14ac:dyDescent="0.2">
      <c r="C229" s="26"/>
      <c r="D229" s="4"/>
      <c r="K229" s="4"/>
      <c r="L229" s="4"/>
      <c r="M229" s="4"/>
      <c r="N229" s="4"/>
      <c r="O229" s="4"/>
      <c r="P229" s="4"/>
      <c r="Q229" s="4"/>
      <c r="R229" s="4"/>
      <c r="S229" s="4"/>
      <c r="T229" s="4"/>
    </row>
    <row r="230" spans="3:20" s="25" customFormat="1" ht="14.25" x14ac:dyDescent="0.2">
      <c r="C230" s="26"/>
      <c r="D230" s="4"/>
      <c r="K230" s="4"/>
      <c r="L230" s="4"/>
      <c r="M230" s="4"/>
      <c r="N230" s="4"/>
      <c r="O230" s="4"/>
      <c r="P230" s="4"/>
      <c r="Q230" s="4"/>
      <c r="R230" s="4"/>
      <c r="S230" s="4"/>
      <c r="T230" s="4"/>
    </row>
    <row r="231" spans="3:20" s="25" customFormat="1" ht="14.25" x14ac:dyDescent="0.2">
      <c r="C231" s="26"/>
      <c r="D231" s="4"/>
      <c r="K231" s="4"/>
      <c r="L231" s="4"/>
      <c r="M231" s="4"/>
      <c r="N231" s="4"/>
      <c r="O231" s="4"/>
      <c r="P231" s="4"/>
      <c r="Q231" s="4"/>
      <c r="R231" s="4"/>
      <c r="S231" s="4"/>
      <c r="T231" s="4"/>
    </row>
    <row r="232" spans="3:20" s="25" customFormat="1" ht="14.25" x14ac:dyDescent="0.2">
      <c r="C232" s="26"/>
      <c r="D232" s="4"/>
      <c r="K232" s="4"/>
      <c r="L232" s="4"/>
      <c r="M232" s="4"/>
      <c r="N232" s="4"/>
      <c r="O232" s="4"/>
      <c r="P232" s="4"/>
      <c r="Q232" s="4"/>
      <c r="R232" s="4"/>
      <c r="S232" s="4"/>
      <c r="T232" s="4"/>
    </row>
    <row r="233" spans="3:20" s="25" customFormat="1" ht="14.25" x14ac:dyDescent="0.2">
      <c r="C233" s="26"/>
      <c r="D233" s="4"/>
      <c r="K233" s="4"/>
      <c r="L233" s="4"/>
      <c r="M233" s="4"/>
      <c r="N233" s="4"/>
      <c r="O233" s="4"/>
      <c r="P233" s="4"/>
      <c r="Q233" s="4"/>
      <c r="R233" s="4"/>
      <c r="S233" s="4"/>
      <c r="T233" s="4"/>
    </row>
    <row r="234" spans="3:20" s="25" customFormat="1" ht="14.25" x14ac:dyDescent="0.2">
      <c r="C234" s="26"/>
      <c r="D234" s="4"/>
      <c r="K234" s="4"/>
      <c r="L234" s="4"/>
      <c r="M234" s="4"/>
      <c r="N234" s="4"/>
      <c r="O234" s="4"/>
      <c r="P234" s="4"/>
      <c r="Q234" s="4"/>
      <c r="R234" s="4"/>
      <c r="S234" s="4"/>
      <c r="T234" s="4"/>
    </row>
    <row r="235" spans="3:20" s="25" customFormat="1" ht="14.25" x14ac:dyDescent="0.2">
      <c r="C235" s="26"/>
      <c r="D235" s="4"/>
      <c r="K235" s="4"/>
      <c r="L235" s="4"/>
      <c r="M235" s="4"/>
      <c r="N235" s="4"/>
      <c r="O235" s="4"/>
      <c r="P235" s="4"/>
      <c r="Q235" s="4"/>
      <c r="R235" s="4"/>
      <c r="S235" s="4"/>
      <c r="T235" s="4"/>
    </row>
    <row r="236" spans="3:20" s="25" customFormat="1" ht="14.25" x14ac:dyDescent="0.2">
      <c r="C236" s="26"/>
      <c r="D236" s="4"/>
      <c r="K236" s="4"/>
      <c r="L236" s="4"/>
      <c r="M236" s="4"/>
      <c r="N236" s="4"/>
      <c r="O236" s="4"/>
      <c r="P236" s="4"/>
      <c r="Q236" s="4"/>
      <c r="R236" s="4"/>
      <c r="S236" s="4"/>
      <c r="T236" s="4"/>
    </row>
    <row r="237" spans="3:20" s="25" customFormat="1" ht="14.25" x14ac:dyDescent="0.2">
      <c r="C237" s="26"/>
      <c r="D237" s="4"/>
      <c r="K237" s="4"/>
      <c r="L237" s="4"/>
      <c r="M237" s="4"/>
      <c r="N237" s="4"/>
      <c r="O237" s="4"/>
      <c r="P237" s="4"/>
      <c r="Q237" s="4"/>
      <c r="R237" s="4"/>
      <c r="S237" s="4"/>
      <c r="T237" s="4"/>
    </row>
    <row r="238" spans="3:20" s="25" customFormat="1" ht="14.25" x14ac:dyDescent="0.2">
      <c r="C238" s="26"/>
      <c r="D238" s="4"/>
      <c r="K238" s="4"/>
      <c r="L238" s="4"/>
      <c r="M238" s="4"/>
      <c r="N238" s="4"/>
      <c r="O238" s="4"/>
      <c r="P238" s="4"/>
      <c r="Q238" s="4"/>
      <c r="R238" s="4"/>
      <c r="S238" s="4"/>
      <c r="T238" s="4"/>
    </row>
    <row r="239" spans="3:20" s="25" customFormat="1" ht="14.25" x14ac:dyDescent="0.2">
      <c r="C239" s="26"/>
      <c r="D239" s="4"/>
      <c r="K239" s="4"/>
      <c r="L239" s="4"/>
      <c r="M239" s="4"/>
      <c r="N239" s="4"/>
      <c r="O239" s="4"/>
      <c r="P239" s="4"/>
      <c r="Q239" s="4"/>
      <c r="R239" s="4"/>
      <c r="S239" s="4"/>
      <c r="T239" s="4"/>
    </row>
    <row r="240" spans="3:20" s="25" customFormat="1" ht="14.25" x14ac:dyDescent="0.2">
      <c r="C240" s="26"/>
      <c r="D240" s="4"/>
      <c r="K240" s="4"/>
      <c r="L240" s="4"/>
      <c r="M240" s="4"/>
      <c r="N240" s="4"/>
      <c r="O240" s="4"/>
      <c r="P240" s="4"/>
      <c r="Q240" s="4"/>
      <c r="R240" s="4"/>
      <c r="S240" s="4"/>
      <c r="T240" s="4"/>
    </row>
    <row r="241" spans="3:20" s="25" customFormat="1" ht="14.25" x14ac:dyDescent="0.2">
      <c r="C241" s="26"/>
      <c r="D241" s="4"/>
      <c r="K241" s="4"/>
      <c r="L241" s="4"/>
      <c r="M241" s="4"/>
      <c r="N241" s="4"/>
      <c r="O241" s="4"/>
      <c r="P241" s="4"/>
      <c r="Q241" s="4"/>
      <c r="R241" s="4"/>
      <c r="S241" s="4"/>
      <c r="T241" s="4"/>
    </row>
    <row r="242" spans="3:20" s="25" customFormat="1" ht="14.25" x14ac:dyDescent="0.2">
      <c r="C242" s="26"/>
      <c r="D242" s="4"/>
      <c r="K242" s="4"/>
      <c r="L242" s="4"/>
      <c r="M242" s="4"/>
      <c r="N242" s="4"/>
      <c r="O242" s="4"/>
      <c r="P242" s="4"/>
      <c r="Q242" s="4"/>
      <c r="R242" s="4"/>
      <c r="S242" s="4"/>
      <c r="T242" s="4"/>
    </row>
    <row r="243" spans="3:20" s="25" customFormat="1" ht="14.25" x14ac:dyDescent="0.2">
      <c r="C243" s="26"/>
      <c r="D243" s="4"/>
      <c r="K243" s="4"/>
      <c r="L243" s="4"/>
      <c r="M243" s="4"/>
      <c r="N243" s="4"/>
      <c r="O243" s="4"/>
      <c r="P243" s="4"/>
      <c r="Q243" s="4"/>
      <c r="R243" s="4"/>
      <c r="S243" s="4"/>
      <c r="T243" s="4"/>
    </row>
    <row r="244" spans="3:20" s="25" customFormat="1" ht="14.25" x14ac:dyDescent="0.2">
      <c r="C244" s="26"/>
      <c r="D244" s="4"/>
      <c r="K244" s="4"/>
      <c r="L244" s="4"/>
      <c r="M244" s="4"/>
      <c r="N244" s="4"/>
      <c r="O244" s="4"/>
      <c r="P244" s="4"/>
      <c r="Q244" s="4"/>
      <c r="R244" s="4"/>
      <c r="S244" s="4"/>
      <c r="T244" s="4"/>
    </row>
    <row r="245" spans="3:20" s="25" customFormat="1" ht="14.25" x14ac:dyDescent="0.2">
      <c r="C245" s="26"/>
      <c r="D245" s="4"/>
      <c r="K245" s="4"/>
      <c r="L245" s="4"/>
      <c r="M245" s="4"/>
      <c r="N245" s="4"/>
      <c r="O245" s="4"/>
      <c r="P245" s="4"/>
      <c r="Q245" s="4"/>
      <c r="R245" s="4"/>
      <c r="S245" s="4"/>
      <c r="T245" s="4"/>
    </row>
    <row r="246" spans="3:20" s="25" customFormat="1" ht="14.25" x14ac:dyDescent="0.2">
      <c r="C246" s="26"/>
      <c r="D246" s="4"/>
      <c r="K246" s="4"/>
      <c r="L246" s="4"/>
      <c r="M246" s="4"/>
      <c r="N246" s="4"/>
      <c r="O246" s="4"/>
      <c r="P246" s="4"/>
      <c r="Q246" s="4"/>
      <c r="R246" s="4"/>
      <c r="S246" s="4"/>
      <c r="T246" s="4"/>
    </row>
    <row r="247" spans="3:20" s="25" customFormat="1" ht="14.25" x14ac:dyDescent="0.2">
      <c r="C247" s="26"/>
      <c r="D247" s="4"/>
      <c r="K247" s="4"/>
      <c r="L247" s="4"/>
      <c r="M247" s="4"/>
      <c r="N247" s="4"/>
      <c r="O247" s="4"/>
      <c r="P247" s="4"/>
      <c r="Q247" s="4"/>
      <c r="R247" s="4"/>
      <c r="S247" s="4"/>
      <c r="T247" s="4"/>
    </row>
    <row r="248" spans="3:20" s="25" customFormat="1" ht="14.25" x14ac:dyDescent="0.2">
      <c r="C248" s="26"/>
      <c r="D248" s="4"/>
      <c r="K248" s="4"/>
      <c r="L248" s="4"/>
      <c r="M248" s="4"/>
      <c r="N248" s="4"/>
      <c r="O248" s="4"/>
      <c r="P248" s="4"/>
      <c r="Q248" s="4"/>
      <c r="R248" s="4"/>
      <c r="S248" s="4"/>
      <c r="T248" s="4"/>
    </row>
    <row r="249" spans="3:20" s="25" customFormat="1" ht="14.25" x14ac:dyDescent="0.2">
      <c r="C249" s="26"/>
      <c r="D249" s="4"/>
      <c r="K249" s="4"/>
      <c r="L249" s="4"/>
      <c r="M249" s="4"/>
      <c r="N249" s="4"/>
      <c r="O249" s="4"/>
      <c r="P249" s="4"/>
      <c r="Q249" s="4"/>
      <c r="R249" s="4"/>
      <c r="S249" s="4"/>
      <c r="T249" s="4"/>
    </row>
    <row r="250" spans="3:20" s="25" customFormat="1" ht="14.25" x14ac:dyDescent="0.2">
      <c r="C250" s="26"/>
      <c r="D250" s="4"/>
      <c r="K250" s="4"/>
      <c r="L250" s="4"/>
      <c r="M250" s="4"/>
      <c r="N250" s="4"/>
      <c r="O250" s="4"/>
      <c r="P250" s="4"/>
      <c r="Q250" s="4"/>
      <c r="R250" s="4"/>
      <c r="S250" s="4"/>
      <c r="T250" s="4"/>
    </row>
    <row r="251" spans="3:20" s="25" customFormat="1" ht="14.25" x14ac:dyDescent="0.2">
      <c r="C251" s="26"/>
      <c r="D251" s="4"/>
      <c r="K251" s="4"/>
      <c r="L251" s="4"/>
      <c r="M251" s="4"/>
      <c r="N251" s="4"/>
      <c r="O251" s="4"/>
      <c r="P251" s="4"/>
      <c r="Q251" s="4"/>
      <c r="R251" s="4"/>
      <c r="S251" s="4"/>
      <c r="T251" s="4"/>
    </row>
    <row r="252" spans="3:20" s="25" customFormat="1" ht="14.25" x14ac:dyDescent="0.2">
      <c r="C252" s="26"/>
      <c r="D252" s="4"/>
      <c r="K252" s="4"/>
      <c r="L252" s="4"/>
      <c r="M252" s="4"/>
      <c r="N252" s="4"/>
      <c r="O252" s="4"/>
      <c r="P252" s="4"/>
      <c r="Q252" s="4"/>
      <c r="R252" s="4"/>
      <c r="S252" s="4"/>
      <c r="T252" s="4"/>
    </row>
    <row r="253" spans="3:20" s="25" customFormat="1" ht="14.25" x14ac:dyDescent="0.2">
      <c r="C253" s="26"/>
      <c r="D253" s="4"/>
      <c r="K253" s="4"/>
      <c r="L253" s="4"/>
      <c r="M253" s="4"/>
      <c r="N253" s="4"/>
      <c r="O253" s="4"/>
      <c r="P253" s="4"/>
      <c r="Q253" s="4"/>
      <c r="R253" s="4"/>
      <c r="S253" s="4"/>
      <c r="T253" s="4"/>
    </row>
    <row r="254" spans="3:20" s="25" customFormat="1" ht="14.25" x14ac:dyDescent="0.2">
      <c r="C254" s="26"/>
      <c r="D254" s="4"/>
      <c r="K254" s="4"/>
      <c r="L254" s="4"/>
      <c r="M254" s="4"/>
      <c r="N254" s="4"/>
      <c r="O254" s="4"/>
      <c r="P254" s="4"/>
      <c r="Q254" s="4"/>
      <c r="R254" s="4"/>
      <c r="S254" s="4"/>
      <c r="T254" s="4"/>
    </row>
    <row r="255" spans="3:20" s="25" customFormat="1" ht="14.25" x14ac:dyDescent="0.2">
      <c r="C255" s="26"/>
      <c r="D255" s="4"/>
      <c r="K255" s="4"/>
      <c r="L255" s="4"/>
      <c r="M255" s="4"/>
      <c r="N255" s="4"/>
      <c r="O255" s="4"/>
      <c r="P255" s="4"/>
      <c r="Q255" s="4"/>
      <c r="R255" s="4"/>
      <c r="S255" s="4"/>
      <c r="T255" s="4"/>
    </row>
    <row r="256" spans="3:20" s="25" customFormat="1" ht="14.25" x14ac:dyDescent="0.2">
      <c r="C256" s="26"/>
      <c r="D256" s="4"/>
      <c r="K256" s="4"/>
      <c r="L256" s="4"/>
      <c r="M256" s="4"/>
      <c r="N256" s="4"/>
      <c r="O256" s="4"/>
      <c r="P256" s="4"/>
      <c r="Q256" s="4"/>
      <c r="R256" s="4"/>
      <c r="S256" s="4"/>
      <c r="T256" s="4"/>
    </row>
    <row r="257" spans="3:20" s="25" customFormat="1" ht="14.25" x14ac:dyDescent="0.2">
      <c r="C257" s="26"/>
      <c r="D257" s="4"/>
      <c r="K257" s="4"/>
      <c r="L257" s="4"/>
      <c r="M257" s="4"/>
      <c r="N257" s="4"/>
      <c r="O257" s="4"/>
      <c r="P257" s="4"/>
      <c r="Q257" s="4"/>
      <c r="R257" s="4"/>
      <c r="S257" s="4"/>
      <c r="T257" s="4"/>
    </row>
    <row r="258" spans="3:20" s="25" customFormat="1" ht="14.25" x14ac:dyDescent="0.2">
      <c r="C258" s="26"/>
      <c r="D258" s="4"/>
      <c r="K258" s="4"/>
      <c r="L258" s="4"/>
      <c r="M258" s="4"/>
      <c r="N258" s="4"/>
      <c r="O258" s="4"/>
      <c r="P258" s="4"/>
      <c r="Q258" s="4"/>
      <c r="R258" s="4"/>
      <c r="S258" s="4"/>
      <c r="T258" s="4"/>
    </row>
    <row r="259" spans="3:20" s="25" customFormat="1" ht="14.25" x14ac:dyDescent="0.2">
      <c r="C259" s="26"/>
      <c r="D259" s="4"/>
      <c r="K259" s="4"/>
      <c r="L259" s="4"/>
      <c r="M259" s="4"/>
      <c r="N259" s="4"/>
      <c r="O259" s="4"/>
      <c r="P259" s="4"/>
      <c r="Q259" s="4"/>
      <c r="R259" s="4"/>
      <c r="S259" s="4"/>
      <c r="T259" s="4"/>
    </row>
    <row r="260" spans="3:20" s="25" customFormat="1" ht="14.25" x14ac:dyDescent="0.2">
      <c r="C260" s="26"/>
      <c r="D260" s="4"/>
      <c r="K260" s="4"/>
      <c r="L260" s="4"/>
      <c r="M260" s="4"/>
      <c r="N260" s="4"/>
      <c r="O260" s="4"/>
      <c r="P260" s="4"/>
      <c r="Q260" s="4"/>
      <c r="R260" s="4"/>
      <c r="S260" s="4"/>
      <c r="T260" s="4"/>
    </row>
    <row r="261" spans="3:20" s="25" customFormat="1" ht="14.25" x14ac:dyDescent="0.2">
      <c r="C261" s="26"/>
      <c r="D261" s="4"/>
      <c r="K261" s="4"/>
      <c r="L261" s="4"/>
      <c r="M261" s="4"/>
      <c r="N261" s="4"/>
      <c r="O261" s="4"/>
      <c r="P261" s="4"/>
      <c r="Q261" s="4"/>
      <c r="R261" s="4"/>
      <c r="S261" s="4"/>
      <c r="T261" s="4"/>
    </row>
    <row r="262" spans="3:20" s="25" customFormat="1" ht="14.25" x14ac:dyDescent="0.2">
      <c r="C262" s="26"/>
      <c r="D262" s="4"/>
      <c r="K262" s="4"/>
      <c r="L262" s="4"/>
      <c r="M262" s="4"/>
      <c r="N262" s="4"/>
      <c r="O262" s="4"/>
      <c r="P262" s="4"/>
      <c r="Q262" s="4"/>
      <c r="R262" s="4"/>
      <c r="S262" s="4"/>
      <c r="T262" s="4"/>
    </row>
    <row r="263" spans="3:20" s="25" customFormat="1" ht="14.25" x14ac:dyDescent="0.2">
      <c r="C263" s="26"/>
      <c r="D263" s="4"/>
      <c r="K263" s="4"/>
      <c r="L263" s="4"/>
      <c r="M263" s="4"/>
      <c r="N263" s="4"/>
      <c r="O263" s="4"/>
      <c r="P263" s="4"/>
      <c r="Q263" s="4"/>
      <c r="R263" s="4"/>
      <c r="S263" s="4"/>
      <c r="T263" s="4"/>
    </row>
    <row r="264" spans="3:20" s="25" customFormat="1" ht="14.25" x14ac:dyDescent="0.2">
      <c r="C264" s="26"/>
      <c r="D264" s="4"/>
      <c r="K264" s="4"/>
      <c r="L264" s="4"/>
      <c r="M264" s="4"/>
      <c r="N264" s="4"/>
      <c r="O264" s="4"/>
      <c r="P264" s="4"/>
      <c r="Q264" s="4"/>
      <c r="R264" s="4"/>
      <c r="S264" s="4"/>
      <c r="T264" s="4"/>
    </row>
    <row r="265" spans="3:20" s="25" customFormat="1" ht="14.25" x14ac:dyDescent="0.2">
      <c r="C265" s="26"/>
      <c r="D265" s="4"/>
      <c r="K265" s="4"/>
      <c r="L265" s="4"/>
      <c r="M265" s="4"/>
      <c r="N265" s="4"/>
      <c r="O265" s="4"/>
      <c r="P265" s="4"/>
      <c r="Q265" s="4"/>
      <c r="R265" s="4"/>
      <c r="S265" s="4"/>
      <c r="T265" s="4"/>
    </row>
    <row r="266" spans="3:20" s="25" customFormat="1" ht="14.25" x14ac:dyDescent="0.2">
      <c r="C266" s="26"/>
      <c r="D266" s="4"/>
      <c r="K266" s="4"/>
      <c r="L266" s="4"/>
      <c r="M266" s="4"/>
      <c r="N266" s="4"/>
      <c r="O266" s="4"/>
      <c r="P266" s="4"/>
      <c r="Q266" s="4"/>
      <c r="R266" s="4"/>
      <c r="S266" s="4"/>
      <c r="T266" s="4"/>
    </row>
    <row r="267" spans="3:20" s="25" customFormat="1" ht="14.25" x14ac:dyDescent="0.2">
      <c r="C267" s="26"/>
      <c r="D267" s="4"/>
      <c r="K267" s="4"/>
      <c r="L267" s="4"/>
      <c r="M267" s="4"/>
      <c r="N267" s="4"/>
      <c r="O267" s="4"/>
      <c r="P267" s="4"/>
      <c r="Q267" s="4"/>
      <c r="R267" s="4"/>
      <c r="S267" s="4"/>
      <c r="T267" s="4"/>
    </row>
  </sheetData>
  <mergeCells count="9">
    <mergeCell ref="C25:L25"/>
    <mergeCell ref="L15:Q16"/>
    <mergeCell ref="B17:C18"/>
    <mergeCell ref="G17:J18"/>
    <mergeCell ref="G19:J19"/>
    <mergeCell ref="A2:C2"/>
    <mergeCell ref="B13:J14"/>
    <mergeCell ref="B15:C16"/>
    <mergeCell ref="G15:J16"/>
  </mergeCells>
  <dataValidations count="1">
    <dataValidation type="whole" allowBlank="1" showInputMessage="1" showErrorMessage="1" error="Укажите число от 10 до 40." sqref="C10" xr:uid="{00000000-0002-0000-0000-000000000000}">
      <formula1>10</formula1>
      <formula2>40</formula2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2026-04-03T12:48:09Z</dcterms:modified>
</cp:coreProperties>
</file>