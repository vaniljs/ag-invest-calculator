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32168D9-4694-4B1F-8E18-5F1AD3433069}" xr6:coauthVersionLast="47" xr6:coauthVersionMax="47" xr10:uidLastSave="{00000000-0000-0000-0000-000000000000}"/>
  <bookViews>
    <workbookView xWindow="1080" yWindow="1080" windowWidth="25650" windowHeight="180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J6" i="1"/>
  <c r="J4" i="1"/>
  <c r="J8" i="1" l="1"/>
  <c r="G17" i="1" l="1"/>
  <c r="L17" i="1" s="1"/>
  <c r="J10" i="1"/>
  <c r="G19" i="1"/>
  <c r="L15" i="1" l="1"/>
  <c r="L13" i="1"/>
  <c r="L19" i="1"/>
  <c r="L14" i="1"/>
  <c r="L10" i="1"/>
  <c r="L18" i="1"/>
  <c r="L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10" authorId="0" shapeId="0" xr:uid="{00000000-0006-0000-0000-000001000000}">
      <text>
        <r>
          <rPr>
            <sz val="12"/>
            <color indexed="81"/>
            <rFont val="Tahoma"/>
            <family val="2"/>
            <charset val="204"/>
          </rPr>
          <t>Введите от 10 до 40.</t>
        </r>
      </text>
    </comment>
  </commentList>
</comments>
</file>

<file path=xl/sharedStrings.xml><?xml version="1.0" encoding="utf-8"?>
<sst xmlns="http://schemas.openxmlformats.org/spreadsheetml/2006/main" count="14" uniqueCount="14">
  <si>
    <t>Заполните жёлтые ячейки</t>
  </si>
  <si>
    <t xml:space="preserve">Среднемесячный личный доход  </t>
  </si>
  <si>
    <t xml:space="preserve">Итого капитал (10% годовых)  </t>
  </si>
  <si>
    <t xml:space="preserve">Рабочих / бизнес часов в месяц  </t>
  </si>
  <si>
    <t xml:space="preserve">Сколько внесли за все года  </t>
  </si>
  <si>
    <t xml:space="preserve">Сколько инвестировать в месяц  </t>
  </si>
  <si>
    <t xml:space="preserve">Доход до налогов  </t>
  </si>
  <si>
    <t xml:space="preserve">Сколько лет инвестировать  </t>
  </si>
  <si>
    <t>Какой доход приносит ваш 1 час?</t>
  </si>
  <si>
    <t>На работе / В бизнесе</t>
  </si>
  <si>
    <t>В долгосрочных инвестициях</t>
  </si>
  <si>
    <t>Расчёты на данной странице носят информативный характер. Любые инвестиции сопряжены с риском.</t>
  </si>
  <si>
    <t>Реальный результат может отличаться от представленных здесь значений. Не является рекомендацией.</t>
  </si>
  <si>
    <t xml:space="preserve">Доход после налога 22%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</si>
</sst>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#,##0\ &quot;₽&quot;;\-#,##0\ &quot;₽&quot;"/>
    <numFmt numFmtId="42" formatCode="_-* #,##0\ &quot;₽&quot;_-;\-* #,##0\ &quot;₽&quot;_-;_-* &quot;-&quot;\ &quot;₽&quot;_-;_-@_-"/>
    <numFmt numFmtId="164" formatCode="_-* #,##0.00\ _₽_-;\-* #,##0.00\ _₽_-;_-* &quot;-&quot;??\ _₽_-;_-@_-"/>
    <numFmt numFmtId="165" formatCode="_-* #,##0_-;\-* #,##0_-;_-* &quot;-&quot;??_-;_-@_-"/>
    <numFmt numFmtId="166" formatCode="#,##0\ &quot;₽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Arial"/>
      <family val="2"/>
      <charset val="204"/>
    </font>
    <font>
      <b/>
      <sz val="12"/>
      <color rgb="FFFFFF00"/>
      <name val="Arial"/>
      <family val="2"/>
      <charset val="204"/>
    </font>
    <font>
      <sz val="12"/>
      <color theme="0"/>
      <name val="Arial"/>
      <family val="2"/>
      <charset val="204"/>
    </font>
    <font>
      <sz val="12"/>
      <color rgb="FF002635"/>
      <name val="Arial"/>
      <family val="2"/>
      <charset val="204"/>
    </font>
    <font>
      <sz val="12"/>
      <color theme="1"/>
      <name val="Arial"/>
      <family val="2"/>
      <charset val="204"/>
    </font>
    <font>
      <sz val="10"/>
      <color theme="0"/>
      <name val="Arial"/>
      <family val="2"/>
      <charset val="204"/>
    </font>
    <font>
      <b/>
      <sz val="20"/>
      <color theme="0"/>
      <name val="Arial"/>
      <family val="2"/>
      <charset val="204"/>
    </font>
    <font>
      <b/>
      <sz val="12"/>
      <color theme="0"/>
      <name val="Arial"/>
      <family val="2"/>
      <charset val="204"/>
    </font>
    <font>
      <sz val="14"/>
      <color theme="0"/>
      <name val="Calibri"/>
      <family val="2"/>
      <charset val="204"/>
    </font>
    <font>
      <b/>
      <sz val="24"/>
      <color rgb="FF002635"/>
      <name val="Arial"/>
      <family val="2"/>
      <charset val="204"/>
    </font>
    <font>
      <sz val="14"/>
      <color theme="0"/>
      <name val="Arial"/>
      <family val="2"/>
      <charset val="204"/>
    </font>
    <font>
      <sz val="9"/>
      <color theme="0" tint="-0.34998626667073579"/>
      <name val="Arial"/>
      <family val="2"/>
      <charset val="204"/>
    </font>
    <font>
      <sz val="11"/>
      <color theme="0" tint="-0.34998626667073579"/>
      <name val="Arial"/>
      <family val="2"/>
      <charset val="204"/>
    </font>
    <font>
      <sz val="11"/>
      <name val="Arial"/>
      <family val="2"/>
      <charset val="204"/>
    </font>
    <font>
      <sz val="12"/>
      <color indexed="81"/>
      <name val="Tahoma"/>
      <family val="2"/>
      <charset val="204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6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0" fillId="2" borderId="0" xfId="0" applyFill="1" applyProtection="1">
      <protection hidden="1"/>
    </xf>
    <xf numFmtId="165" fontId="0" fillId="2" borderId="0" xfId="1" applyNumberFormat="1" applyFont="1" applyFill="1" applyProtection="1">
      <protection hidden="1"/>
    </xf>
    <xf numFmtId="0" fontId="2" fillId="2" borderId="0" xfId="0" applyFont="1" applyFill="1" applyProtection="1">
      <protection hidden="1"/>
    </xf>
    <xf numFmtId="0" fontId="4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right"/>
      <protection hidden="1"/>
    </xf>
    <xf numFmtId="5" fontId="5" fillId="3" borderId="1" xfId="1" applyNumberFormat="1" applyFont="1" applyFill="1" applyBorder="1" applyProtection="1">
      <protection locked="0" hidden="1"/>
    </xf>
    <xf numFmtId="0" fontId="4" fillId="2" borderId="0" xfId="0" applyFont="1" applyFill="1" applyAlignment="1" applyProtection="1">
      <alignment vertical="center"/>
      <protection hidden="1"/>
    </xf>
    <xf numFmtId="42" fontId="4" fillId="2" borderId="0" xfId="1" applyNumberFormat="1" applyFont="1" applyFill="1" applyProtection="1">
      <protection hidden="1"/>
    </xf>
    <xf numFmtId="0" fontId="6" fillId="2" borderId="0" xfId="0" applyFont="1" applyFill="1" applyAlignment="1" applyProtection="1">
      <alignment vertical="center"/>
      <protection hidden="1"/>
    </xf>
    <xf numFmtId="165" fontId="4" fillId="2" borderId="0" xfId="1" applyNumberFormat="1" applyFont="1" applyFill="1" applyProtection="1">
      <protection hidden="1"/>
    </xf>
    <xf numFmtId="0" fontId="6" fillId="2" borderId="0" xfId="0" applyFont="1" applyFill="1" applyProtection="1">
      <protection hidden="1"/>
    </xf>
    <xf numFmtId="165" fontId="5" fillId="3" borderId="1" xfId="1" applyNumberFormat="1" applyFont="1" applyFill="1" applyBorder="1" applyProtection="1">
      <protection locked="0" hidden="1"/>
    </xf>
    <xf numFmtId="42" fontId="4" fillId="2" borderId="0" xfId="0" applyNumberFormat="1" applyFont="1" applyFill="1" applyProtection="1">
      <protection hidden="1"/>
    </xf>
    <xf numFmtId="0" fontId="7" fillId="2" borderId="0" xfId="0" applyFont="1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0" fontId="10" fillId="2" borderId="0" xfId="0" applyFont="1" applyFill="1" applyProtection="1">
      <protection hidden="1"/>
    </xf>
    <xf numFmtId="0" fontId="13" fillId="2" borderId="0" xfId="0" applyFont="1" applyFill="1" applyAlignment="1" applyProtection="1">
      <alignment vertical="center"/>
      <protection hidden="1"/>
    </xf>
    <xf numFmtId="165" fontId="14" fillId="2" borderId="0" xfId="1" applyNumberFormat="1" applyFont="1" applyFill="1" applyProtection="1">
      <protection hidden="1"/>
    </xf>
    <xf numFmtId="0" fontId="14" fillId="2" borderId="0" xfId="0" applyFont="1" applyFill="1" applyProtection="1">
      <protection hidden="1"/>
    </xf>
    <xf numFmtId="165" fontId="2" fillId="2" borderId="0" xfId="1" applyNumberFormat="1" applyFont="1" applyFill="1" applyProtection="1"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15" fillId="2" borderId="0" xfId="0" applyFont="1" applyFill="1" applyProtection="1">
      <protection hidden="1"/>
    </xf>
    <xf numFmtId="165" fontId="15" fillId="2" borderId="0" xfId="1" applyNumberFormat="1" applyFont="1" applyFill="1" applyProtection="1">
      <protection hidden="1"/>
    </xf>
    <xf numFmtId="0" fontId="7" fillId="2" borderId="0" xfId="0" applyFont="1" applyFill="1" applyAlignment="1" applyProtection="1">
      <alignment horizontal="left"/>
      <protection hidden="1"/>
    </xf>
    <xf numFmtId="166" fontId="11" fillId="4" borderId="0" xfId="0" applyNumberFormat="1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17" fillId="2" borderId="0" xfId="0" applyFont="1" applyFill="1" applyProtection="1">
      <protection hidden="1"/>
    </xf>
    <xf numFmtId="165" fontId="17" fillId="2" borderId="0" xfId="1" applyNumberFormat="1" applyFont="1" applyFill="1" applyProtection="1">
      <protection hidden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7"/>
  <sheetViews>
    <sheetView tabSelected="1" workbookViewId="0">
      <selection activeCell="O22" sqref="O22"/>
    </sheetView>
  </sheetViews>
  <sheetFormatPr defaultColWidth="9" defaultRowHeight="15" x14ac:dyDescent="0.25"/>
  <cols>
    <col min="1" max="1" width="9" style="2"/>
    <col min="2" max="2" width="24.42578125" style="2" customWidth="1"/>
    <col min="3" max="3" width="13.7109375" style="3" customWidth="1"/>
    <col min="4" max="4" width="5" style="4" customWidth="1"/>
    <col min="5" max="5" width="5.5703125" style="2" customWidth="1"/>
    <col min="6" max="6" width="5.140625" style="2" customWidth="1"/>
    <col min="7" max="7" width="9.5703125" style="2" customWidth="1"/>
    <col min="8" max="8" width="7.85546875" style="2" customWidth="1"/>
    <col min="9" max="9" width="4.7109375" style="2" customWidth="1"/>
    <col min="10" max="10" width="19.28515625" style="2" customWidth="1"/>
    <col min="11" max="20" width="9" style="4"/>
    <col min="21" max="16384" width="9" style="2"/>
  </cols>
  <sheetData>
    <row r="1" spans="1:20" x14ac:dyDescent="0.25">
      <c r="A1" s="1"/>
    </row>
    <row r="2" spans="1:20" ht="17.649999999999999" customHeight="1" x14ac:dyDescent="0.25">
      <c r="A2" s="30" t="s">
        <v>0</v>
      </c>
      <c r="B2" s="30"/>
      <c r="C2" s="30"/>
    </row>
    <row r="3" spans="1:20" ht="2.65" customHeight="1" x14ac:dyDescent="0.25"/>
    <row r="4" spans="1:20" s="10" customFormat="1" x14ac:dyDescent="0.2">
      <c r="A4" s="5"/>
      <c r="B4" s="6" t="s">
        <v>1</v>
      </c>
      <c r="C4" s="7"/>
      <c r="D4" s="8"/>
      <c r="E4" s="5"/>
      <c r="F4" s="5"/>
      <c r="G4" s="5"/>
      <c r="H4" s="5"/>
      <c r="I4" s="6" t="s">
        <v>2</v>
      </c>
      <c r="J4" s="9">
        <f>C8*IF(C10=A27,A28,IF(C10=B27,B28,IF(C10=C27,C28,IF(C10=D27,D28,IF(C10=E27,E28,IF(C10=F27,F28,IF(C10=G27,G28,IF(C10=H27,H28,IF(C10=I27,I28,IF(C10=J27,J28,IF(C10=K27,K28,IF(C10=L27,L28,IF(C10=C29,C30,IF(C10=D29,D30,IF(C10=E29,E30,IF(C10=F29,F30,IF(C10=G29,G30,IF(C10=H29,H30,IF(C10=I29,I30,IF(C10=J29,J30,IF(C10=K29,K30,IF(C10=L29,L30,IF(C10=C31,C32,IF(C10=D31,D32,IF(C10=E31,E32,IF(C10=F31,F32,IF(C10=G31,G32,IF(C10=H31,H32,IF(C10=I31,I32,IF(C10=J31,J32,IF(C10=K31,K32,IF(C10=L31,L32))))))))))))))))))))))))))))))))</f>
        <v>0</v>
      </c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s="12" customFormat="1" ht="4.9000000000000004" customHeight="1" x14ac:dyDescent="0.2">
      <c r="A5" s="5"/>
      <c r="B5" s="6"/>
      <c r="C5" s="6"/>
      <c r="D5" s="5"/>
      <c r="E5" s="5"/>
      <c r="F5" s="5"/>
      <c r="G5" s="5"/>
      <c r="H5" s="5"/>
      <c r="I5" s="6"/>
      <c r="J5" s="11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s="12" customFormat="1" x14ac:dyDescent="0.2">
      <c r="A6" s="5"/>
      <c r="B6" s="6" t="s">
        <v>3</v>
      </c>
      <c r="C6" s="13"/>
      <c r="D6" s="5"/>
      <c r="E6" s="5"/>
      <c r="F6" s="5"/>
      <c r="G6" s="5"/>
      <c r="H6" s="5"/>
      <c r="I6" s="6" t="s">
        <v>4</v>
      </c>
      <c r="J6" s="9">
        <f>C8*12*C10</f>
        <v>0</v>
      </c>
      <c r="K6" s="5"/>
      <c r="O6" s="5"/>
      <c r="P6" s="5"/>
      <c r="Q6" s="5"/>
      <c r="R6" s="5"/>
      <c r="S6" s="5"/>
      <c r="T6" s="5"/>
    </row>
    <row r="7" spans="1:20" s="12" customFormat="1" ht="5.25" customHeight="1" x14ac:dyDescent="0.2">
      <c r="A7" s="5"/>
      <c r="B7" s="5"/>
      <c r="C7" s="11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s="12" customFormat="1" x14ac:dyDescent="0.2">
      <c r="B8" s="6" t="s">
        <v>5</v>
      </c>
      <c r="C8" s="7"/>
      <c r="D8" s="5"/>
      <c r="E8" s="5"/>
      <c r="F8" s="5"/>
      <c r="G8" s="5"/>
      <c r="H8" s="5"/>
      <c r="I8" s="6" t="s">
        <v>6</v>
      </c>
      <c r="J8" s="9">
        <f>J4-J6</f>
        <v>0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s="12" customFormat="1" ht="5.25" customHeight="1" x14ac:dyDescent="0.2">
      <c r="A9" s="5"/>
      <c r="B9" s="5"/>
      <c r="C9" s="5"/>
      <c r="D9" s="5"/>
      <c r="E9" s="5"/>
      <c r="F9" s="5"/>
      <c r="G9" s="5"/>
      <c r="H9" s="5"/>
      <c r="I9" s="5"/>
      <c r="J9" s="14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s="12" customFormat="1" x14ac:dyDescent="0.2">
      <c r="A10" s="5"/>
      <c r="B10" s="6" t="s">
        <v>7</v>
      </c>
      <c r="C10" s="13"/>
      <c r="D10" s="5"/>
      <c r="E10" s="5"/>
      <c r="F10" s="5"/>
      <c r="G10" s="5"/>
      <c r="H10" s="5"/>
      <c r="I10" s="6" t="s">
        <v>13</v>
      </c>
      <c r="J10" s="9">
        <f>J8*0.78</f>
        <v>0</v>
      </c>
      <c r="K10" s="5"/>
      <c r="L10" s="15" t="str">
        <f>IF(G17="","","'На работе / В бизнесе' показывает, сколько приносит")</f>
        <v/>
      </c>
      <c r="M10" s="5"/>
      <c r="N10" s="5"/>
      <c r="O10" s="5"/>
      <c r="P10" s="5"/>
      <c r="Q10" s="5"/>
      <c r="R10" s="5"/>
      <c r="S10" s="5"/>
      <c r="T10" s="5"/>
    </row>
    <row r="11" spans="1:20" s="5" customFormat="1" x14ac:dyDescent="0.2">
      <c r="L11" s="15" t="str">
        <f>IF(G17="","","ваш 1 час от активной деятельности, приносящей доход.")</f>
        <v/>
      </c>
    </row>
    <row r="12" spans="1:20" s="5" customFormat="1" x14ac:dyDescent="0.2">
      <c r="C12" s="11"/>
    </row>
    <row r="13" spans="1:20" s="5" customFormat="1" x14ac:dyDescent="0.2">
      <c r="B13" s="31" t="s">
        <v>8</v>
      </c>
      <c r="C13" s="31"/>
      <c r="D13" s="31"/>
      <c r="E13" s="31"/>
      <c r="F13" s="31"/>
      <c r="G13" s="31"/>
      <c r="H13" s="31"/>
      <c r="I13" s="31"/>
      <c r="J13" s="31"/>
      <c r="L13" s="15" t="str">
        <f>IF(G17="","","'В долгосрочных инвестициях' показывает, сколько приносят")</f>
        <v/>
      </c>
    </row>
    <row r="14" spans="1:20" s="4" customFormat="1" ht="15" customHeight="1" x14ac:dyDescent="0.2">
      <c r="B14" s="31"/>
      <c r="C14" s="31"/>
      <c r="D14" s="31"/>
      <c r="E14" s="31"/>
      <c r="F14" s="31"/>
      <c r="G14" s="31"/>
      <c r="H14" s="31"/>
      <c r="I14" s="31"/>
      <c r="J14" s="31"/>
      <c r="K14" s="5"/>
      <c r="L14" s="15" t="str">
        <f>IF(G17="","","долгосрочные инвестиции, на которые вы тратите 1 час в год.")</f>
        <v/>
      </c>
    </row>
    <row r="15" spans="1:20" s="16" customFormat="1" ht="16.5" customHeight="1" x14ac:dyDescent="0.25">
      <c r="B15" s="32" t="s">
        <v>9</v>
      </c>
      <c r="C15" s="32"/>
      <c r="D15" s="17"/>
      <c r="G15" s="32" t="s">
        <v>10</v>
      </c>
      <c r="H15" s="32"/>
      <c r="I15" s="32"/>
      <c r="J15" s="32"/>
      <c r="K15" s="18"/>
      <c r="L15" s="27" t="str">
        <f>IF(G17="","","Вывод: с точки зрения обмена своего времени на деньги,")</f>
        <v/>
      </c>
      <c r="M15" s="27"/>
      <c r="N15" s="27"/>
      <c r="O15" s="27"/>
      <c r="P15" s="27"/>
      <c r="Q15" s="27"/>
      <c r="R15" s="17"/>
      <c r="S15" s="17"/>
      <c r="T15" s="17"/>
    </row>
    <row r="16" spans="1:20" ht="15.4" customHeight="1" x14ac:dyDescent="0.25">
      <c r="B16" s="32"/>
      <c r="C16" s="32"/>
      <c r="G16" s="32"/>
      <c r="H16" s="32"/>
      <c r="I16" s="32"/>
      <c r="J16" s="32"/>
      <c r="L16" s="27"/>
      <c r="M16" s="27"/>
      <c r="N16" s="27"/>
      <c r="O16" s="27"/>
      <c r="P16" s="27"/>
      <c r="Q16" s="27"/>
    </row>
    <row r="17" spans="1:15" ht="16.5" customHeight="1" x14ac:dyDescent="0.3">
      <c r="B17" s="28" t="str">
        <f>IF(OR(C4="",C6=""),"",C4/C6)</f>
        <v/>
      </c>
      <c r="C17" s="28"/>
      <c r="G17" s="28" t="str">
        <f>IF(AND(C8&gt;0,C10&gt;0),J10/C10,"")</f>
        <v/>
      </c>
      <c r="H17" s="28"/>
      <c r="I17" s="28"/>
      <c r="J17" s="28"/>
      <c r="L17" s="15" t="str">
        <f>IF(G17="","","ни одна работа или бизнес в долгосрок не принесут столько, ")</f>
        <v/>
      </c>
      <c r="M17" s="19"/>
      <c r="N17" s="19"/>
      <c r="O17" s="19"/>
    </row>
    <row r="18" spans="1:15" ht="16.5" customHeight="1" x14ac:dyDescent="0.3">
      <c r="B18" s="28"/>
      <c r="C18" s="28"/>
      <c r="G18" s="28"/>
      <c r="H18" s="28"/>
      <c r="I18" s="28"/>
      <c r="J18" s="28"/>
      <c r="L18" s="4" t="str">
        <f>IF(G17="","","сколько дадут долгосрочные грамотные инвестиции.")</f>
        <v/>
      </c>
      <c r="M18" s="19"/>
      <c r="N18" s="19"/>
      <c r="O18" s="19"/>
    </row>
    <row r="19" spans="1:15" ht="15.95" customHeight="1" x14ac:dyDescent="0.3">
      <c r="G19" s="29" t="str">
        <f>IF(AND(C4&gt;1,C6&gt;1,C8&gt;1,C10&gt;1),"Больше в " &amp;ROUNDUP(G17/B17,0) &amp;" раз(а)","")</f>
        <v/>
      </c>
      <c r="H19" s="29"/>
      <c r="I19" s="29"/>
      <c r="J19" s="29"/>
      <c r="L19" s="4" t="str">
        <f>IF(G17="","","Стратегий и инструментов много - важно подобрать свои.")</f>
        <v/>
      </c>
      <c r="M19" s="19"/>
      <c r="N19" s="19"/>
      <c r="O19" s="19"/>
    </row>
    <row r="20" spans="1:15" ht="18.75" x14ac:dyDescent="0.3">
      <c r="L20" s="2"/>
      <c r="M20" s="19"/>
      <c r="N20" s="19"/>
      <c r="O20" s="19"/>
    </row>
    <row r="21" spans="1:15" ht="12.4" customHeight="1" x14ac:dyDescent="0.3">
      <c r="B21" s="20" t="s">
        <v>11</v>
      </c>
      <c r="C21" s="21"/>
      <c r="E21" s="22"/>
      <c r="F21" s="22"/>
      <c r="G21" s="22"/>
      <c r="H21" s="22"/>
      <c r="I21" s="22"/>
      <c r="J21" s="22"/>
      <c r="M21" s="19"/>
      <c r="N21" s="19"/>
      <c r="O21" s="19"/>
    </row>
    <row r="22" spans="1:15" ht="12.4" customHeight="1" x14ac:dyDescent="0.3">
      <c r="B22" s="20" t="s">
        <v>12</v>
      </c>
      <c r="C22" s="21"/>
      <c r="E22" s="22"/>
      <c r="F22" s="22"/>
      <c r="G22" s="22"/>
      <c r="H22" s="22"/>
      <c r="I22" s="22"/>
      <c r="J22" s="22"/>
      <c r="M22" s="19"/>
      <c r="N22" s="19"/>
      <c r="O22" s="19"/>
    </row>
    <row r="23" spans="1:15" ht="18.75" x14ac:dyDescent="0.3">
      <c r="B23" s="33"/>
      <c r="C23" s="34"/>
      <c r="E23" s="33"/>
      <c r="F23" s="33"/>
      <c r="G23" s="33"/>
      <c r="H23" s="33"/>
      <c r="I23" s="33"/>
      <c r="J23" s="33"/>
      <c r="M23" s="19"/>
      <c r="N23" s="19"/>
      <c r="O23" s="19"/>
    </row>
    <row r="24" spans="1:15" s="4" customFormat="1" ht="18.75" x14ac:dyDescent="0.3">
      <c r="C24" s="23"/>
      <c r="D24" s="24"/>
      <c r="M24" s="19"/>
      <c r="N24" s="19"/>
      <c r="O24" s="19"/>
    </row>
    <row r="25" spans="1:15" s="4" customFormat="1" ht="18.75" x14ac:dyDescent="0.3">
      <c r="C25" s="23"/>
      <c r="D25" s="24"/>
      <c r="M25" s="19"/>
      <c r="N25" s="19"/>
      <c r="O25" s="19"/>
    </row>
    <row r="26" spans="1:15" s="4" customFormat="1" ht="18.75" x14ac:dyDescent="0.3">
      <c r="C26" s="23"/>
      <c r="G26" s="19"/>
      <c r="H26" s="19"/>
      <c r="I26" s="19"/>
      <c r="J26" s="19"/>
    </row>
    <row r="27" spans="1:15" s="4" customFormat="1" ht="18.75" x14ac:dyDescent="0.3">
      <c r="A27" s="19"/>
      <c r="B27" s="19">
        <v>10</v>
      </c>
      <c r="C27" s="19">
        <v>11</v>
      </c>
      <c r="D27" s="19">
        <v>12</v>
      </c>
      <c r="E27" s="19">
        <v>13</v>
      </c>
      <c r="F27" s="19">
        <v>14</v>
      </c>
      <c r="G27" s="19">
        <v>15</v>
      </c>
      <c r="H27" s="19">
        <v>16</v>
      </c>
      <c r="I27" s="19">
        <v>17</v>
      </c>
      <c r="J27" s="19">
        <v>18</v>
      </c>
      <c r="K27" s="19">
        <v>19</v>
      </c>
      <c r="L27" s="19">
        <v>20</v>
      </c>
      <c r="M27" s="19"/>
    </row>
    <row r="28" spans="1:15" s="4" customFormat="1" ht="18.75" x14ac:dyDescent="0.3">
      <c r="A28" s="19"/>
      <c r="B28" s="19">
        <v>206.6</v>
      </c>
      <c r="C28" s="19">
        <v>240.8</v>
      </c>
      <c r="D28" s="19">
        <v>278.7</v>
      </c>
      <c r="E28" s="19">
        <v>320.60000000000002</v>
      </c>
      <c r="F28" s="19">
        <v>356.8</v>
      </c>
      <c r="G28" s="19">
        <v>417.9</v>
      </c>
      <c r="H28" s="19">
        <v>474.4</v>
      </c>
      <c r="I28" s="19">
        <v>536.79999999999995</v>
      </c>
      <c r="J28" s="19">
        <v>605.70000000000005</v>
      </c>
      <c r="K28" s="19">
        <v>681.7</v>
      </c>
      <c r="L28" s="19">
        <v>765.7</v>
      </c>
      <c r="M28" s="19"/>
    </row>
    <row r="29" spans="1:15" s="4" customFormat="1" ht="18.75" x14ac:dyDescent="0.3">
      <c r="C29" s="19">
        <v>21</v>
      </c>
      <c r="D29" s="19">
        <v>22</v>
      </c>
      <c r="E29" s="19">
        <v>23</v>
      </c>
      <c r="F29" s="19">
        <v>24</v>
      </c>
      <c r="G29" s="19">
        <v>25</v>
      </c>
      <c r="H29" s="19">
        <v>26</v>
      </c>
      <c r="I29" s="19">
        <v>27</v>
      </c>
      <c r="J29" s="19">
        <v>28</v>
      </c>
      <c r="K29" s="19">
        <v>29</v>
      </c>
      <c r="L29" s="19">
        <v>30</v>
      </c>
      <c r="M29" s="19"/>
    </row>
    <row r="30" spans="1:15" s="4" customFormat="1" ht="18.75" x14ac:dyDescent="0.3">
      <c r="C30" s="19">
        <v>858.4</v>
      </c>
      <c r="D30" s="19">
        <v>961.5</v>
      </c>
      <c r="E30" s="19">
        <v>1074.0999999999999</v>
      </c>
      <c r="F30" s="19">
        <v>1199</v>
      </c>
      <c r="G30" s="19">
        <v>1338.7</v>
      </c>
      <c r="H30" s="19">
        <v>1490.3</v>
      </c>
      <c r="I30" s="19">
        <v>1658.4</v>
      </c>
      <c r="J30" s="19">
        <v>1845</v>
      </c>
      <c r="K30" s="19">
        <v>2053.4</v>
      </c>
      <c r="L30" s="19">
        <v>2277.9</v>
      </c>
      <c r="M30" s="19"/>
    </row>
    <row r="31" spans="1:15" s="4" customFormat="1" ht="18.75" x14ac:dyDescent="0.3">
      <c r="C31" s="19">
        <v>31</v>
      </c>
      <c r="D31" s="19">
        <v>32</v>
      </c>
      <c r="E31" s="19">
        <v>33</v>
      </c>
      <c r="F31" s="19">
        <v>34</v>
      </c>
      <c r="G31" s="19">
        <v>35</v>
      </c>
      <c r="H31" s="19">
        <v>36</v>
      </c>
      <c r="I31" s="19">
        <v>37</v>
      </c>
      <c r="J31" s="19">
        <v>38</v>
      </c>
      <c r="K31" s="19">
        <v>39</v>
      </c>
      <c r="L31" s="19">
        <v>40</v>
      </c>
      <c r="M31" s="19"/>
    </row>
    <row r="32" spans="1:15" s="4" customFormat="1" ht="18.75" x14ac:dyDescent="0.3">
      <c r="C32" s="19">
        <v>2531.6</v>
      </c>
      <c r="D32" s="19">
        <v>2809</v>
      </c>
      <c r="E32" s="19">
        <v>3115.3</v>
      </c>
      <c r="F32" s="19">
        <v>3448.3</v>
      </c>
      <c r="G32" s="19">
        <v>3831.4</v>
      </c>
      <c r="H32" s="19">
        <v>4237.3</v>
      </c>
      <c r="I32" s="19">
        <v>4694.8</v>
      </c>
      <c r="J32" s="19">
        <v>5208.3</v>
      </c>
      <c r="K32" s="19">
        <v>5747.1</v>
      </c>
      <c r="L32" s="19">
        <v>6369.4</v>
      </c>
      <c r="M32" s="19"/>
    </row>
    <row r="33" spans="1:20" s="4" customFormat="1" ht="14.25" x14ac:dyDescent="0.2">
      <c r="C33" s="23"/>
    </row>
    <row r="34" spans="1:20" s="4" customFormat="1" ht="14.25" x14ac:dyDescent="0.2">
      <c r="C34" s="23"/>
    </row>
    <row r="35" spans="1:20" s="4" customFormat="1" ht="14.25" x14ac:dyDescent="0.2">
      <c r="C35" s="23"/>
    </row>
    <row r="36" spans="1:20" s="4" customFormat="1" ht="18.75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20" s="4" customFormat="1" ht="18.75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1:20" s="4" customFormat="1" ht="18.75" x14ac:dyDescent="0.3"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20" s="4" customFormat="1" ht="18.75" x14ac:dyDescent="0.3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1:20" s="4" customFormat="1" ht="18.75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20" s="4" customFormat="1" ht="18.75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1:20" s="4" customFormat="1" ht="14.25" x14ac:dyDescent="0.2">
      <c r="C42" s="23"/>
    </row>
    <row r="43" spans="1:20" s="4" customFormat="1" ht="14.25" x14ac:dyDescent="0.2">
      <c r="C43" s="23"/>
    </row>
    <row r="44" spans="1:20" s="4" customFormat="1" ht="14.25" x14ac:dyDescent="0.2">
      <c r="C44" s="23"/>
    </row>
    <row r="45" spans="1:20" s="4" customFormat="1" ht="14.25" x14ac:dyDescent="0.2">
      <c r="C45" s="23"/>
    </row>
    <row r="46" spans="1:20" s="4" customFormat="1" ht="14.25" x14ac:dyDescent="0.2">
      <c r="C46" s="23"/>
    </row>
    <row r="47" spans="1:20" s="4" customFormat="1" ht="14.25" x14ac:dyDescent="0.2">
      <c r="C47" s="23"/>
    </row>
    <row r="48" spans="1:20" s="25" customFormat="1" ht="14.25" x14ac:dyDescent="0.2">
      <c r="C48" s="26"/>
      <c r="D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3:20" s="25" customFormat="1" ht="14.25" x14ac:dyDescent="0.2">
      <c r="C49" s="26"/>
      <c r="D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3:20" s="25" customFormat="1" ht="14.25" x14ac:dyDescent="0.2">
      <c r="C50" s="26"/>
      <c r="D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3:20" s="25" customFormat="1" ht="14.25" x14ac:dyDescent="0.2">
      <c r="C51" s="26"/>
      <c r="D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3:20" s="25" customFormat="1" ht="14.25" x14ac:dyDescent="0.2">
      <c r="C52" s="26"/>
      <c r="D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3:20" s="25" customFormat="1" ht="14.25" x14ac:dyDescent="0.2">
      <c r="C53" s="26"/>
      <c r="D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3:20" s="25" customFormat="1" ht="14.25" x14ac:dyDescent="0.2">
      <c r="C54" s="26"/>
      <c r="D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3:20" s="25" customFormat="1" ht="14.25" x14ac:dyDescent="0.2">
      <c r="C55" s="26"/>
      <c r="D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3:20" s="25" customFormat="1" ht="14.25" x14ac:dyDescent="0.2">
      <c r="C56" s="26"/>
      <c r="D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3:20" s="25" customFormat="1" ht="14.25" x14ac:dyDescent="0.2">
      <c r="C57" s="26"/>
      <c r="D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3:20" s="25" customFormat="1" ht="14.25" x14ac:dyDescent="0.2">
      <c r="C58" s="26"/>
      <c r="D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3:20" s="25" customFormat="1" ht="14.25" x14ac:dyDescent="0.2">
      <c r="C59" s="26"/>
      <c r="D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3:20" s="25" customFormat="1" ht="14.25" x14ac:dyDescent="0.2">
      <c r="C60" s="26"/>
      <c r="D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3:20" s="25" customFormat="1" ht="14.25" x14ac:dyDescent="0.2">
      <c r="C61" s="26"/>
      <c r="D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3:20" s="25" customFormat="1" ht="14.25" x14ac:dyDescent="0.2">
      <c r="C62" s="26"/>
      <c r="D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3:20" s="25" customFormat="1" ht="14.25" x14ac:dyDescent="0.2">
      <c r="C63" s="26"/>
      <c r="D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3:20" s="25" customFormat="1" ht="14.25" x14ac:dyDescent="0.2">
      <c r="C64" s="26"/>
      <c r="D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3:20" s="25" customFormat="1" ht="14.25" x14ac:dyDescent="0.2">
      <c r="C65" s="26"/>
      <c r="D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3:20" s="25" customFormat="1" ht="14.25" x14ac:dyDescent="0.2">
      <c r="C66" s="26"/>
      <c r="D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3:20" s="25" customFormat="1" ht="14.25" x14ac:dyDescent="0.2">
      <c r="C67" s="26"/>
      <c r="D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3:20" s="25" customFormat="1" ht="14.25" x14ac:dyDescent="0.2">
      <c r="C68" s="26"/>
      <c r="D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3:20" s="25" customFormat="1" ht="14.25" x14ac:dyDescent="0.2">
      <c r="C69" s="26"/>
      <c r="D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3:20" s="25" customFormat="1" ht="14.25" x14ac:dyDescent="0.2">
      <c r="C70" s="26"/>
      <c r="D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3:20" s="25" customFormat="1" ht="14.25" x14ac:dyDescent="0.2">
      <c r="C71" s="26"/>
      <c r="D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3:20" s="25" customFormat="1" ht="14.25" x14ac:dyDescent="0.2">
      <c r="C72" s="26"/>
      <c r="D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3:20" s="25" customFormat="1" ht="14.25" x14ac:dyDescent="0.2">
      <c r="C73" s="26"/>
      <c r="D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3:20" s="25" customFormat="1" ht="14.25" x14ac:dyDescent="0.2">
      <c r="C74" s="26"/>
      <c r="D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3:20" s="25" customFormat="1" ht="14.25" x14ac:dyDescent="0.2">
      <c r="C75" s="26"/>
      <c r="D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3:20" s="25" customFormat="1" ht="14.25" x14ac:dyDescent="0.2">
      <c r="C76" s="26"/>
      <c r="D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3:20" s="25" customFormat="1" ht="14.25" x14ac:dyDescent="0.2">
      <c r="C77" s="26"/>
      <c r="D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3:20" s="25" customFormat="1" ht="14.25" x14ac:dyDescent="0.2">
      <c r="C78" s="26"/>
      <c r="D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3:20" s="25" customFormat="1" ht="14.25" x14ac:dyDescent="0.2">
      <c r="C79" s="26"/>
      <c r="D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3:20" s="25" customFormat="1" ht="14.25" x14ac:dyDescent="0.2">
      <c r="C80" s="26"/>
      <c r="D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3:20" s="25" customFormat="1" ht="14.25" x14ac:dyDescent="0.2">
      <c r="C81" s="26"/>
      <c r="D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3:20" s="25" customFormat="1" ht="14.25" x14ac:dyDescent="0.2">
      <c r="C82" s="26"/>
      <c r="D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3:20" s="25" customFormat="1" ht="14.25" x14ac:dyDescent="0.2">
      <c r="C83" s="26"/>
      <c r="D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3:20" s="25" customFormat="1" ht="14.25" x14ac:dyDescent="0.2">
      <c r="C84" s="26"/>
      <c r="D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3:20" s="25" customFormat="1" ht="14.25" x14ac:dyDescent="0.2">
      <c r="C85" s="26"/>
      <c r="D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3:20" s="25" customFormat="1" ht="14.25" x14ac:dyDescent="0.2">
      <c r="C86" s="26"/>
      <c r="D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3:20" s="25" customFormat="1" ht="14.25" x14ac:dyDescent="0.2">
      <c r="C87" s="26"/>
      <c r="D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3:20" s="25" customFormat="1" ht="14.25" x14ac:dyDescent="0.2">
      <c r="C88" s="26"/>
      <c r="D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3:20" s="25" customFormat="1" ht="14.25" x14ac:dyDescent="0.2">
      <c r="C89" s="26"/>
      <c r="D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3:20" s="25" customFormat="1" ht="14.25" x14ac:dyDescent="0.2">
      <c r="C90" s="26"/>
      <c r="D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3:20" s="25" customFormat="1" ht="14.25" x14ac:dyDescent="0.2">
      <c r="C91" s="26"/>
      <c r="D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3:20" s="25" customFormat="1" ht="14.25" x14ac:dyDescent="0.2">
      <c r="C92" s="26"/>
      <c r="D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3:20" s="25" customFormat="1" ht="14.25" x14ac:dyDescent="0.2">
      <c r="C93" s="26"/>
      <c r="D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3:20" s="25" customFormat="1" ht="14.25" x14ac:dyDescent="0.2">
      <c r="C94" s="26"/>
      <c r="D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3:20" s="25" customFormat="1" ht="14.25" x14ac:dyDescent="0.2">
      <c r="C95" s="26"/>
      <c r="D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3:20" s="25" customFormat="1" ht="14.25" x14ac:dyDescent="0.2">
      <c r="C96" s="26"/>
      <c r="D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3:20" s="25" customFormat="1" ht="14.25" x14ac:dyDescent="0.2">
      <c r="C97" s="26"/>
      <c r="D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3:20" s="25" customFormat="1" ht="14.25" x14ac:dyDescent="0.2">
      <c r="C98" s="26"/>
      <c r="D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3:20" s="25" customFormat="1" ht="14.25" x14ac:dyDescent="0.2">
      <c r="C99" s="26"/>
      <c r="D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3:20" s="25" customFormat="1" ht="14.25" x14ac:dyDescent="0.2">
      <c r="C100" s="26"/>
      <c r="D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3:20" s="25" customFormat="1" ht="14.25" x14ac:dyDescent="0.2">
      <c r="C101" s="26"/>
      <c r="D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3:20" s="25" customFormat="1" ht="14.25" x14ac:dyDescent="0.2">
      <c r="C102" s="26"/>
      <c r="D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3:20" s="25" customFormat="1" ht="14.25" x14ac:dyDescent="0.2">
      <c r="C103" s="26"/>
      <c r="D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3:20" s="25" customFormat="1" ht="14.25" x14ac:dyDescent="0.2">
      <c r="C104" s="26"/>
      <c r="D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3:20" s="25" customFormat="1" ht="14.25" x14ac:dyDescent="0.2">
      <c r="C105" s="26"/>
      <c r="D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3:20" s="25" customFormat="1" ht="14.25" x14ac:dyDescent="0.2">
      <c r="C106" s="26"/>
      <c r="D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3:20" s="25" customFormat="1" ht="14.25" x14ac:dyDescent="0.2">
      <c r="C107" s="26"/>
      <c r="D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3:20" s="25" customFormat="1" ht="14.25" x14ac:dyDescent="0.2">
      <c r="C108" s="26"/>
      <c r="D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3:20" s="25" customFormat="1" ht="14.25" x14ac:dyDescent="0.2">
      <c r="C109" s="26"/>
      <c r="D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3:20" s="25" customFormat="1" ht="14.25" x14ac:dyDescent="0.2">
      <c r="C110" s="26"/>
      <c r="D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3:20" s="25" customFormat="1" ht="14.25" x14ac:dyDescent="0.2">
      <c r="C111" s="26"/>
      <c r="D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3:20" s="25" customFormat="1" ht="14.25" x14ac:dyDescent="0.2">
      <c r="C112" s="26"/>
      <c r="D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3:20" s="25" customFormat="1" ht="14.25" x14ac:dyDescent="0.2">
      <c r="C113" s="26"/>
      <c r="D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3:20" s="25" customFormat="1" ht="14.25" x14ac:dyDescent="0.2">
      <c r="C114" s="26"/>
      <c r="D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3:20" s="25" customFormat="1" ht="14.25" x14ac:dyDescent="0.2">
      <c r="C115" s="26"/>
      <c r="D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3:20" s="25" customFormat="1" ht="14.25" x14ac:dyDescent="0.2">
      <c r="C116" s="26"/>
      <c r="D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3:20" s="25" customFormat="1" ht="14.25" x14ac:dyDescent="0.2">
      <c r="C117" s="26"/>
      <c r="D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3:20" s="25" customFormat="1" ht="14.25" x14ac:dyDescent="0.2">
      <c r="C118" s="26"/>
      <c r="D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3:20" s="25" customFormat="1" ht="14.25" x14ac:dyDescent="0.2">
      <c r="C119" s="26"/>
      <c r="D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3:20" s="25" customFormat="1" ht="14.25" x14ac:dyDescent="0.2">
      <c r="C120" s="26"/>
      <c r="D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3:20" s="25" customFormat="1" ht="14.25" x14ac:dyDescent="0.2">
      <c r="C121" s="26"/>
      <c r="D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3:20" s="25" customFormat="1" ht="14.25" x14ac:dyDescent="0.2">
      <c r="C122" s="26"/>
      <c r="D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3:20" s="25" customFormat="1" ht="14.25" x14ac:dyDescent="0.2">
      <c r="C123" s="26"/>
      <c r="D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3:20" s="25" customFormat="1" ht="14.25" x14ac:dyDescent="0.2">
      <c r="C124" s="26"/>
      <c r="D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3:20" s="25" customFormat="1" ht="14.25" x14ac:dyDescent="0.2">
      <c r="C125" s="26"/>
      <c r="D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3:20" s="25" customFormat="1" ht="14.25" x14ac:dyDescent="0.2">
      <c r="C126" s="26"/>
      <c r="D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3:20" s="25" customFormat="1" ht="14.25" x14ac:dyDescent="0.2">
      <c r="C127" s="26"/>
      <c r="D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3:20" s="25" customFormat="1" ht="14.25" x14ac:dyDescent="0.2">
      <c r="C128" s="26"/>
      <c r="D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3:20" s="25" customFormat="1" ht="14.25" x14ac:dyDescent="0.2">
      <c r="C129" s="26"/>
      <c r="D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3:20" s="25" customFormat="1" ht="14.25" x14ac:dyDescent="0.2">
      <c r="C130" s="26"/>
      <c r="D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3:20" s="25" customFormat="1" ht="14.25" x14ac:dyDescent="0.2">
      <c r="C131" s="26"/>
      <c r="D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3:20" s="25" customFormat="1" ht="14.25" x14ac:dyDescent="0.2">
      <c r="C132" s="26"/>
      <c r="D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3:20" s="25" customFormat="1" ht="14.25" x14ac:dyDescent="0.2">
      <c r="C133" s="26"/>
      <c r="D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3:20" s="25" customFormat="1" ht="14.25" x14ac:dyDescent="0.2">
      <c r="C134" s="26"/>
      <c r="D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3:20" s="25" customFormat="1" ht="14.25" x14ac:dyDescent="0.2">
      <c r="C135" s="26"/>
      <c r="D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3:20" s="25" customFormat="1" ht="14.25" x14ac:dyDescent="0.2">
      <c r="C136" s="26"/>
      <c r="D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3:20" s="25" customFormat="1" ht="14.25" x14ac:dyDescent="0.2">
      <c r="C137" s="26"/>
      <c r="D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3:20" s="25" customFormat="1" ht="14.25" x14ac:dyDescent="0.2">
      <c r="C138" s="26"/>
      <c r="D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3:20" s="25" customFormat="1" ht="14.25" x14ac:dyDescent="0.2">
      <c r="C139" s="26"/>
      <c r="D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3:20" s="25" customFormat="1" ht="14.25" x14ac:dyDescent="0.2">
      <c r="C140" s="26"/>
      <c r="D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3:20" s="25" customFormat="1" ht="14.25" x14ac:dyDescent="0.2">
      <c r="C141" s="26"/>
      <c r="D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3:20" s="25" customFormat="1" ht="14.25" x14ac:dyDescent="0.2">
      <c r="C142" s="26"/>
      <c r="D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3:20" s="25" customFormat="1" ht="14.25" x14ac:dyDescent="0.2">
      <c r="C143" s="26"/>
      <c r="D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3:20" s="25" customFormat="1" ht="14.25" x14ac:dyDescent="0.2">
      <c r="C144" s="26"/>
      <c r="D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3:20" s="25" customFormat="1" ht="14.25" x14ac:dyDescent="0.2">
      <c r="C145" s="26"/>
      <c r="D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3:20" s="25" customFormat="1" ht="14.25" x14ac:dyDescent="0.2">
      <c r="C146" s="26"/>
      <c r="D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3:20" s="25" customFormat="1" ht="14.25" x14ac:dyDescent="0.2">
      <c r="C147" s="26"/>
      <c r="D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3:20" s="25" customFormat="1" ht="14.25" x14ac:dyDescent="0.2">
      <c r="C148" s="26"/>
      <c r="D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3:20" s="25" customFormat="1" ht="14.25" x14ac:dyDescent="0.2">
      <c r="C149" s="26"/>
      <c r="D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3:20" s="25" customFormat="1" ht="14.25" x14ac:dyDescent="0.2">
      <c r="C150" s="26"/>
      <c r="D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3:20" s="25" customFormat="1" ht="14.25" x14ac:dyDescent="0.2">
      <c r="C151" s="26"/>
      <c r="D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3:20" s="25" customFormat="1" ht="14.25" x14ac:dyDescent="0.2">
      <c r="C152" s="26"/>
      <c r="D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3:20" s="25" customFormat="1" ht="14.25" x14ac:dyDescent="0.2">
      <c r="C153" s="26"/>
      <c r="D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3:20" s="25" customFormat="1" ht="14.25" x14ac:dyDescent="0.2">
      <c r="C154" s="26"/>
      <c r="D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3:20" s="25" customFormat="1" ht="14.25" x14ac:dyDescent="0.2">
      <c r="C155" s="26"/>
      <c r="D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3:20" s="25" customFormat="1" ht="14.25" x14ac:dyDescent="0.2">
      <c r="C156" s="26"/>
      <c r="D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3:20" s="25" customFormat="1" ht="14.25" x14ac:dyDescent="0.2">
      <c r="C157" s="26"/>
      <c r="D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3:20" s="25" customFormat="1" ht="14.25" x14ac:dyDescent="0.2">
      <c r="C158" s="26"/>
      <c r="D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3:20" s="25" customFormat="1" ht="14.25" x14ac:dyDescent="0.2">
      <c r="C159" s="26"/>
      <c r="D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3:20" s="25" customFormat="1" ht="14.25" x14ac:dyDescent="0.2">
      <c r="C160" s="26"/>
      <c r="D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3:20" s="25" customFormat="1" ht="14.25" x14ac:dyDescent="0.2">
      <c r="C161" s="26"/>
      <c r="D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3:20" s="25" customFormat="1" ht="14.25" x14ac:dyDescent="0.2">
      <c r="C162" s="26"/>
      <c r="D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3:20" s="25" customFormat="1" ht="14.25" x14ac:dyDescent="0.2">
      <c r="C163" s="26"/>
      <c r="D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3:20" s="25" customFormat="1" ht="14.25" x14ac:dyDescent="0.2">
      <c r="C164" s="26"/>
      <c r="D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3:20" s="25" customFormat="1" ht="14.25" x14ac:dyDescent="0.2">
      <c r="C165" s="26"/>
      <c r="D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3:20" s="25" customFormat="1" ht="14.25" x14ac:dyDescent="0.2">
      <c r="C166" s="26"/>
      <c r="D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3:20" s="25" customFormat="1" ht="14.25" x14ac:dyDescent="0.2">
      <c r="C167" s="26"/>
      <c r="D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3:20" s="25" customFormat="1" ht="14.25" x14ac:dyDescent="0.2">
      <c r="C168" s="26"/>
      <c r="D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3:20" s="25" customFormat="1" ht="14.25" x14ac:dyDescent="0.2">
      <c r="C169" s="26"/>
      <c r="D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3:20" s="25" customFormat="1" ht="14.25" x14ac:dyDescent="0.2">
      <c r="C170" s="26"/>
      <c r="D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3:20" s="25" customFormat="1" ht="14.25" x14ac:dyDescent="0.2">
      <c r="C171" s="26"/>
      <c r="D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3:20" s="25" customFormat="1" ht="14.25" x14ac:dyDescent="0.2">
      <c r="C172" s="26"/>
      <c r="D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3:20" s="25" customFormat="1" ht="14.25" x14ac:dyDescent="0.2">
      <c r="C173" s="26"/>
      <c r="D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3:20" s="25" customFormat="1" ht="14.25" x14ac:dyDescent="0.2">
      <c r="C174" s="26"/>
      <c r="D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3:20" s="25" customFormat="1" ht="14.25" x14ac:dyDescent="0.2">
      <c r="C175" s="26"/>
      <c r="D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3:20" s="25" customFormat="1" ht="14.25" x14ac:dyDescent="0.2">
      <c r="C176" s="26"/>
      <c r="D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3:20" s="25" customFormat="1" ht="14.25" x14ac:dyDescent="0.2">
      <c r="C177" s="26"/>
      <c r="D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3:20" s="25" customFormat="1" ht="14.25" x14ac:dyDescent="0.2">
      <c r="C178" s="26"/>
      <c r="D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3:20" s="25" customFormat="1" ht="14.25" x14ac:dyDescent="0.2">
      <c r="C179" s="26"/>
      <c r="D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3:20" s="25" customFormat="1" ht="14.25" x14ac:dyDescent="0.2">
      <c r="C180" s="26"/>
      <c r="D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3:20" s="25" customFormat="1" ht="14.25" x14ac:dyDescent="0.2">
      <c r="C181" s="26"/>
      <c r="D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3:20" s="25" customFormat="1" ht="14.25" x14ac:dyDescent="0.2">
      <c r="C182" s="26"/>
      <c r="D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3:20" s="25" customFormat="1" ht="14.25" x14ac:dyDescent="0.2">
      <c r="C183" s="26"/>
      <c r="D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3:20" s="25" customFormat="1" ht="14.25" x14ac:dyDescent="0.2">
      <c r="C184" s="26"/>
      <c r="D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3:20" s="25" customFormat="1" ht="14.25" x14ac:dyDescent="0.2">
      <c r="C185" s="26"/>
      <c r="D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3:20" s="25" customFormat="1" ht="14.25" x14ac:dyDescent="0.2">
      <c r="C186" s="26"/>
      <c r="D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3:20" s="25" customFormat="1" ht="14.25" x14ac:dyDescent="0.2">
      <c r="C187" s="26"/>
      <c r="D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3:20" s="25" customFormat="1" ht="14.25" x14ac:dyDescent="0.2">
      <c r="C188" s="26"/>
      <c r="D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3:20" s="25" customFormat="1" ht="14.25" x14ac:dyDescent="0.2">
      <c r="C189" s="26"/>
      <c r="D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3:20" s="25" customFormat="1" ht="14.25" x14ac:dyDescent="0.2">
      <c r="C190" s="26"/>
      <c r="D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3:20" s="25" customFormat="1" ht="14.25" x14ac:dyDescent="0.2">
      <c r="C191" s="26"/>
      <c r="D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3:20" s="25" customFormat="1" ht="14.25" x14ac:dyDescent="0.2">
      <c r="C192" s="26"/>
      <c r="D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3:20" s="25" customFormat="1" ht="14.25" x14ac:dyDescent="0.2">
      <c r="C193" s="26"/>
      <c r="D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3:20" s="25" customFormat="1" ht="14.25" x14ac:dyDescent="0.2">
      <c r="C194" s="26"/>
      <c r="D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3:20" s="25" customFormat="1" ht="14.25" x14ac:dyDescent="0.2">
      <c r="C195" s="26"/>
      <c r="D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3:20" s="25" customFormat="1" ht="14.25" x14ac:dyDescent="0.2">
      <c r="C196" s="26"/>
      <c r="D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3:20" s="25" customFormat="1" ht="14.25" x14ac:dyDescent="0.2">
      <c r="C197" s="26"/>
      <c r="D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3:20" s="25" customFormat="1" ht="14.25" x14ac:dyDescent="0.2">
      <c r="C198" s="26"/>
      <c r="D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3:20" s="25" customFormat="1" ht="14.25" x14ac:dyDescent="0.2">
      <c r="C199" s="26"/>
      <c r="D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3:20" s="25" customFormat="1" ht="14.25" x14ac:dyDescent="0.2">
      <c r="C200" s="26"/>
      <c r="D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3:20" s="25" customFormat="1" ht="14.25" x14ac:dyDescent="0.2">
      <c r="C201" s="26"/>
      <c r="D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3:20" s="25" customFormat="1" ht="14.25" x14ac:dyDescent="0.2">
      <c r="C202" s="26"/>
      <c r="D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3:20" s="25" customFormat="1" ht="14.25" x14ac:dyDescent="0.2">
      <c r="C203" s="26"/>
      <c r="D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3:20" s="25" customFormat="1" ht="14.25" x14ac:dyDescent="0.2">
      <c r="C204" s="26"/>
      <c r="D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3:20" s="25" customFormat="1" ht="14.25" x14ac:dyDescent="0.2">
      <c r="C205" s="26"/>
      <c r="D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3:20" s="25" customFormat="1" ht="14.25" x14ac:dyDescent="0.2">
      <c r="C206" s="26"/>
      <c r="D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3:20" s="25" customFormat="1" ht="14.25" x14ac:dyDescent="0.2">
      <c r="C207" s="26"/>
      <c r="D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3:20" s="25" customFormat="1" ht="14.25" x14ac:dyDescent="0.2">
      <c r="C208" s="26"/>
      <c r="D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3:20" s="25" customFormat="1" ht="14.25" x14ac:dyDescent="0.2">
      <c r="C209" s="26"/>
      <c r="D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3:20" s="25" customFormat="1" ht="14.25" x14ac:dyDescent="0.2">
      <c r="C210" s="26"/>
      <c r="D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3:20" s="25" customFormat="1" ht="14.25" x14ac:dyDescent="0.2">
      <c r="C211" s="26"/>
      <c r="D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3:20" s="25" customFormat="1" ht="14.25" x14ac:dyDescent="0.2">
      <c r="C212" s="26"/>
      <c r="D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3:20" s="25" customFormat="1" ht="14.25" x14ac:dyDescent="0.2">
      <c r="C213" s="26"/>
      <c r="D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3:20" s="25" customFormat="1" ht="14.25" x14ac:dyDescent="0.2">
      <c r="C214" s="26"/>
      <c r="D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3:20" s="25" customFormat="1" ht="14.25" x14ac:dyDescent="0.2">
      <c r="C215" s="26"/>
      <c r="D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3:20" s="25" customFormat="1" ht="14.25" x14ac:dyDescent="0.2">
      <c r="C216" s="26"/>
      <c r="D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3:20" s="25" customFormat="1" ht="14.25" x14ac:dyDescent="0.2">
      <c r="C217" s="26"/>
      <c r="D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3:20" s="25" customFormat="1" ht="14.25" x14ac:dyDescent="0.2">
      <c r="C218" s="26"/>
      <c r="D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3:20" s="25" customFormat="1" ht="14.25" x14ac:dyDescent="0.2">
      <c r="C219" s="26"/>
      <c r="D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3:20" s="25" customFormat="1" ht="14.25" x14ac:dyDescent="0.2">
      <c r="C220" s="26"/>
      <c r="D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3:20" s="25" customFormat="1" ht="14.25" x14ac:dyDescent="0.2">
      <c r="C221" s="26"/>
      <c r="D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3:20" s="25" customFormat="1" ht="14.25" x14ac:dyDescent="0.2">
      <c r="C222" s="26"/>
      <c r="D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3:20" s="25" customFormat="1" ht="14.25" x14ac:dyDescent="0.2">
      <c r="C223" s="26"/>
      <c r="D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3:20" s="25" customFormat="1" ht="14.25" x14ac:dyDescent="0.2">
      <c r="C224" s="26"/>
      <c r="D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3:20" s="25" customFormat="1" ht="14.25" x14ac:dyDescent="0.2">
      <c r="C225" s="26"/>
      <c r="D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3:20" s="25" customFormat="1" ht="14.25" x14ac:dyDescent="0.2">
      <c r="C226" s="26"/>
      <c r="D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3:20" s="25" customFormat="1" ht="14.25" x14ac:dyDescent="0.2">
      <c r="C227" s="26"/>
      <c r="D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3:20" s="25" customFormat="1" ht="14.25" x14ac:dyDescent="0.2">
      <c r="C228" s="26"/>
      <c r="D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3:20" s="25" customFormat="1" ht="14.25" x14ac:dyDescent="0.2">
      <c r="C229" s="26"/>
      <c r="D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3:20" s="25" customFormat="1" ht="14.25" x14ac:dyDescent="0.2">
      <c r="C230" s="26"/>
      <c r="D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3:20" s="25" customFormat="1" ht="14.25" x14ac:dyDescent="0.2">
      <c r="C231" s="26"/>
      <c r="D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3:20" s="25" customFormat="1" ht="14.25" x14ac:dyDescent="0.2">
      <c r="C232" s="26"/>
      <c r="D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3:20" s="25" customFormat="1" ht="14.25" x14ac:dyDescent="0.2">
      <c r="C233" s="26"/>
      <c r="D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3:20" s="25" customFormat="1" ht="14.25" x14ac:dyDescent="0.2">
      <c r="C234" s="26"/>
      <c r="D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3:20" s="25" customFormat="1" ht="14.25" x14ac:dyDescent="0.2">
      <c r="C235" s="26"/>
      <c r="D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3:20" s="25" customFormat="1" ht="14.25" x14ac:dyDescent="0.2">
      <c r="C236" s="26"/>
      <c r="D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3:20" s="25" customFormat="1" ht="14.25" x14ac:dyDescent="0.2">
      <c r="C237" s="26"/>
      <c r="D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3:20" s="25" customFormat="1" ht="14.25" x14ac:dyDescent="0.2">
      <c r="C238" s="26"/>
      <c r="D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3:20" s="25" customFormat="1" ht="14.25" x14ac:dyDescent="0.2">
      <c r="C239" s="26"/>
      <c r="D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3:20" s="25" customFormat="1" ht="14.25" x14ac:dyDescent="0.2">
      <c r="C240" s="26"/>
      <c r="D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3:20" s="25" customFormat="1" ht="14.25" x14ac:dyDescent="0.2">
      <c r="C241" s="26"/>
      <c r="D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3:20" s="25" customFormat="1" ht="14.25" x14ac:dyDescent="0.2">
      <c r="C242" s="26"/>
      <c r="D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3:20" s="25" customFormat="1" ht="14.25" x14ac:dyDescent="0.2">
      <c r="C243" s="26"/>
      <c r="D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3:20" s="25" customFormat="1" ht="14.25" x14ac:dyDescent="0.2">
      <c r="C244" s="26"/>
      <c r="D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3:20" s="25" customFormat="1" ht="14.25" x14ac:dyDescent="0.2">
      <c r="C245" s="26"/>
      <c r="D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3:20" s="25" customFormat="1" ht="14.25" x14ac:dyDescent="0.2">
      <c r="C246" s="26"/>
      <c r="D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3:20" s="25" customFormat="1" ht="14.25" x14ac:dyDescent="0.2">
      <c r="C247" s="26"/>
      <c r="D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3:20" s="25" customFormat="1" ht="14.25" x14ac:dyDescent="0.2">
      <c r="C248" s="26"/>
      <c r="D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3:20" s="25" customFormat="1" ht="14.25" x14ac:dyDescent="0.2">
      <c r="C249" s="26"/>
      <c r="D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3:20" s="25" customFormat="1" ht="14.25" x14ac:dyDescent="0.2">
      <c r="C250" s="26"/>
      <c r="D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3:20" s="25" customFormat="1" ht="14.25" x14ac:dyDescent="0.2">
      <c r="C251" s="26"/>
      <c r="D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3:20" s="25" customFormat="1" ht="14.25" x14ac:dyDescent="0.2">
      <c r="C252" s="26"/>
      <c r="D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3:20" s="25" customFormat="1" ht="14.25" x14ac:dyDescent="0.2">
      <c r="C253" s="26"/>
      <c r="D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3:20" s="25" customFormat="1" ht="14.25" x14ac:dyDescent="0.2">
      <c r="C254" s="26"/>
      <c r="D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3:20" s="25" customFormat="1" ht="14.25" x14ac:dyDescent="0.2">
      <c r="C255" s="26"/>
      <c r="D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3:20" s="25" customFormat="1" ht="14.25" x14ac:dyDescent="0.2">
      <c r="C256" s="26"/>
      <c r="D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3:20" s="25" customFormat="1" ht="14.25" x14ac:dyDescent="0.2">
      <c r="C257" s="26"/>
      <c r="D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3:20" s="25" customFormat="1" ht="14.25" x14ac:dyDescent="0.2">
      <c r="C258" s="26"/>
      <c r="D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3:20" s="25" customFormat="1" ht="14.25" x14ac:dyDescent="0.2">
      <c r="C259" s="26"/>
      <c r="D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3:20" s="25" customFormat="1" ht="14.25" x14ac:dyDescent="0.2">
      <c r="C260" s="26"/>
      <c r="D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3:20" s="25" customFormat="1" ht="14.25" x14ac:dyDescent="0.2">
      <c r="C261" s="26"/>
      <c r="D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3:20" s="25" customFormat="1" ht="14.25" x14ac:dyDescent="0.2">
      <c r="C262" s="26"/>
      <c r="D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3:20" s="25" customFormat="1" ht="14.25" x14ac:dyDescent="0.2">
      <c r="C263" s="26"/>
      <c r="D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3:20" s="25" customFormat="1" ht="14.25" x14ac:dyDescent="0.2">
      <c r="C264" s="26"/>
      <c r="D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3:20" s="25" customFormat="1" ht="14.25" x14ac:dyDescent="0.2">
      <c r="C265" s="26"/>
      <c r="D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3:20" s="25" customFormat="1" ht="14.25" x14ac:dyDescent="0.2">
      <c r="C266" s="26"/>
      <c r="D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3:20" s="25" customFormat="1" ht="14.25" x14ac:dyDescent="0.2">
      <c r="C267" s="26"/>
      <c r="D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</sheetData>
  <mergeCells count="8">
    <mergeCell ref="L15:Q16"/>
    <mergeCell ref="B17:C18"/>
    <mergeCell ref="G17:J18"/>
    <mergeCell ref="G19:J19"/>
    <mergeCell ref="A2:C2"/>
    <mergeCell ref="B13:J14"/>
    <mergeCell ref="B15:C16"/>
    <mergeCell ref="G15:J16"/>
  </mergeCells>
  <dataValidations count="1">
    <dataValidation type="whole" allowBlank="1" showInputMessage="1" showErrorMessage="1" error="Укажите число от 10 до 40." sqref="C10" xr:uid="{00000000-0002-0000-0000-000000000000}">
      <formula1>10</formula1>
      <formula2>40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2026-03-25T10:52:48Z</dcterms:modified>
</cp:coreProperties>
</file>